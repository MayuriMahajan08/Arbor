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uri\Excel\"/>
    </mc:Choice>
  </mc:AlternateContent>
  <xr:revisionPtr revIDLastSave="0" documentId="13_ncr:1_{FFC72254-AD15-48AF-8FE8-416EF8DE88E1}" xr6:coauthVersionLast="47" xr6:coauthVersionMax="47" xr10:uidLastSave="{00000000-0000-0000-0000-000000000000}"/>
  <bookViews>
    <workbookView xWindow="-108" yWindow="-108" windowWidth="23256" windowHeight="12456" activeTab="5" xr2:uid="{87CFD858-0C59-4A7A-89DF-5A43856E8BAC}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8" l="1"/>
  <c r="D42" i="8"/>
  <c r="D47" i="8"/>
  <c r="Q5" i="4"/>
  <c r="Q7" i="4"/>
  <c r="Q9" i="4"/>
  <c r="Q11" i="4"/>
  <c r="Q13" i="4"/>
  <c r="Q15" i="4"/>
  <c r="R15" i="4"/>
  <c r="Q17" i="4"/>
  <c r="Q19" i="4"/>
  <c r="R19" i="4"/>
  <c r="Q21" i="4"/>
  <c r="R21" i="4"/>
  <c r="Q23" i="4"/>
  <c r="R23" i="4"/>
  <c r="Q29" i="4"/>
  <c r="Q31" i="4"/>
  <c r="Q33" i="4"/>
  <c r="Q35" i="4"/>
  <c r="R35" i="4"/>
  <c r="Q37" i="4"/>
  <c r="Q47" i="4"/>
  <c r="Q49" i="4"/>
  <c r="Q55" i="4"/>
  <c r="Q57" i="4"/>
  <c r="Q59" i="4"/>
  <c r="Q61" i="4"/>
  <c r="Q63" i="4"/>
  <c r="Q65" i="4"/>
  <c r="Q67" i="4"/>
  <c r="Q69" i="4"/>
  <c r="Q71" i="4"/>
  <c r="Q73" i="4"/>
  <c r="D73" i="1"/>
  <c r="D69" i="1"/>
  <c r="D65" i="1"/>
  <c r="D61" i="1"/>
  <c r="D57" i="1"/>
  <c r="D53" i="1"/>
  <c r="D49" i="1"/>
  <c r="D45" i="1"/>
  <c r="D41" i="1"/>
  <c r="D37" i="1"/>
</calcChain>
</file>

<file path=xl/sharedStrings.xml><?xml version="1.0" encoding="utf-8"?>
<sst xmlns="http://schemas.openxmlformats.org/spreadsheetml/2006/main" count="1580" uniqueCount="462">
  <si>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</si>
  <si>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</si>
  <si>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</si>
  <si>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</si>
  <si>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</si>
  <si>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</si>
  <si>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</si>
  <si>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</si>
  <si>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</si>
  <si>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</si>
  <si>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</si>
  <si>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</si>
  <si>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</si>
  <si>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</si>
  <si>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</si>
  <si>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</si>
  <si>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</si>
  <si>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</si>
  <si>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</si>
  <si>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</si>
  <si>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</si>
  <si>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</si>
  <si>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</si>
  <si>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</si>
  <si>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</si>
  <si>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</si>
  <si>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</si>
  <si>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</si>
  <si>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</si>
  <si>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</si>
  <si>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</si>
  <si>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</si>
  <si>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</si>
  <si>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</si>
  <si>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</si>
  <si>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</si>
  <si>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</si>
  <si>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</si>
  <si>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</si>
  <si>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</si>
  <si>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</si>
  <si>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</si>
  <si>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</si>
  <si>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</si>
  <si>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</si>
  <si>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</si>
  <si>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</si>
  <si>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</si>
  <si>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</si>
  <si>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</si>
  <si>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</si>
  <si>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</si>
  <si>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</si>
  <si>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</si>
  <si>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</si>
  <si>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</si>
  <si>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</si>
  <si>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</si>
  <si>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</si>
  <si>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</si>
  <si>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</si>
  <si>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</si>
  <si>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</si>
  <si>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</si>
  <si>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</si>
  <si>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</si>
  <si>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</si>
  <si>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</si>
  <si>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</si>
  <si>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</si>
  <si>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</si>
  <si>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</si>
  <si>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</si>
  <si>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</si>
  <si>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</si>
  <si>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</si>
  <si>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</si>
  <si>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</si>
  <si>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</si>
  <si>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</si>
  <si>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</si>
  <si>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</si>
  <si>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</si>
  <si>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</si>
  <si>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</si>
  <si>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</si>
  <si>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</si>
  <si>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</si>
  <si>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</si>
  <si>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</si>
  <si>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</si>
  <si>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</si>
  <si>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</si>
  <si>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</si>
  <si>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Write a VLOOKUP formula to return the Region where SaleID = 19 was made.</t>
  </si>
  <si>
    <t>Using VLOOKUP, get the SalesPerson who handled the sale for SaleID = 5.</t>
  </si>
  <si>
    <t>Use VLOOKUP to find the PaymentMethod used for Customer = "Vaishnavi Patil".</t>
  </si>
  <si>
    <t>Create a VLOOKUP formula that returns the TotalAmount for ProductName = "Refrigerator".</t>
  </si>
  <si>
    <t>Return the Status of the sale for SaleID = 8 using VLOOKUP.</t>
  </si>
  <si>
    <t>Using VLOOKUP, find the Category of the product purchased by Customer = "Tanvi Joshi".</t>
  </si>
  <si>
    <t>Write a VLOOKUP formula to get the Date of the transaction for SaleID = 17.</t>
  </si>
  <si>
    <t>BusID</t>
  </si>
  <si>
    <t>BusNumber</t>
  </si>
  <si>
    <t>DriverName</t>
  </si>
  <si>
    <t>Route</t>
  </si>
  <si>
    <t>Source</t>
  </si>
  <si>
    <t>Destination</t>
  </si>
  <si>
    <t>DepartureTime</t>
  </si>
  <si>
    <t>ArrivalTime</t>
  </si>
  <si>
    <t>TicketPrice</t>
  </si>
  <si>
    <t>BusType</t>
  </si>
  <si>
    <t>MH12AB101</t>
  </si>
  <si>
    <t>Rajesh Patil</t>
  </si>
  <si>
    <t>Pune-Mumbai</t>
  </si>
  <si>
    <t>Pune</t>
  </si>
  <si>
    <t>Mumbai</t>
  </si>
  <si>
    <t>AC</t>
  </si>
  <si>
    <t>MH14CD202</t>
  </si>
  <si>
    <t>Amit Sharma</t>
  </si>
  <si>
    <t>Mumbai-Nashik</t>
  </si>
  <si>
    <t>Nashik</t>
  </si>
  <si>
    <t>Non-AC</t>
  </si>
  <si>
    <t>MH01EF303</t>
  </si>
  <si>
    <t>Sneha Reddy</t>
  </si>
  <si>
    <t>Pune-Nagpur</t>
  </si>
  <si>
    <t>Nagpur</t>
  </si>
  <si>
    <t>Sleeper</t>
  </si>
  <si>
    <t>MH20GH404</t>
  </si>
  <si>
    <t>Arjun Khan</t>
  </si>
  <si>
    <t>Nashik-Pune</t>
  </si>
  <si>
    <t>MH15IJ505</t>
  </si>
  <si>
    <t>Pooja Mehta</t>
  </si>
  <si>
    <t>Mumbai-Pune</t>
  </si>
  <si>
    <t>MH18KL606</t>
  </si>
  <si>
    <t>Vikram Joshi</t>
  </si>
  <si>
    <t>Pune-Solapur</t>
  </si>
  <si>
    <t>Solapur</t>
  </si>
  <si>
    <t>MH22MN707</t>
  </si>
  <si>
    <t>Neha Gupta</t>
  </si>
  <si>
    <t>Solapur-Pune</t>
  </si>
  <si>
    <t>MH10OP808</t>
  </si>
  <si>
    <t>Karan Yadav</t>
  </si>
  <si>
    <t>Nagpur-Pune</t>
  </si>
  <si>
    <t>MH11QR909</t>
  </si>
  <si>
    <t>Anjali Nair</t>
  </si>
  <si>
    <t>MH16ST010</t>
  </si>
  <si>
    <t>Mumbai-Kolhapur</t>
  </si>
  <si>
    <t>Kolhapur</t>
  </si>
  <si>
    <t>MH19UV111</t>
  </si>
  <si>
    <t>Priya Patil</t>
  </si>
  <si>
    <t>Kolhapur-Mumbai</t>
  </si>
  <si>
    <t>MH17WX212</t>
  </si>
  <si>
    <t>Pune-Aurangabad</t>
  </si>
  <si>
    <t>Aurangabad</t>
  </si>
  <si>
    <t>MH09YZ313</t>
  </si>
  <si>
    <t>Sneha Sharma</t>
  </si>
  <si>
    <t>Aurangabad-Pune</t>
  </si>
  <si>
    <t>MH21AA414</t>
  </si>
  <si>
    <t>Rohit Salve</t>
  </si>
  <si>
    <t>MH23BB515</t>
  </si>
  <si>
    <t>Om Magdum</t>
  </si>
  <si>
    <t>MH24CC616</t>
  </si>
  <si>
    <t>Ekta Kulkarni</t>
  </si>
  <si>
    <t>Nashik-Mumbai</t>
  </si>
  <si>
    <t>MH25DD717</t>
  </si>
  <si>
    <t>Manvi Kridutta</t>
  </si>
  <si>
    <t>MH26EE818</t>
  </si>
  <si>
    <t>Sayali Dhore</t>
  </si>
  <si>
    <t>MH27FF919</t>
  </si>
  <si>
    <t>Kavita More</t>
  </si>
  <si>
    <t>Mumbai-Satara</t>
  </si>
  <si>
    <t>Satara</t>
  </si>
  <si>
    <t>MH28GG020</t>
  </si>
  <si>
    <t>Deepak Jadhav</t>
  </si>
  <si>
    <t>Satara-Mumbai</t>
  </si>
  <si>
    <t>MH29HH121</t>
  </si>
  <si>
    <t>Suresh Pawar</t>
  </si>
  <si>
    <t>MH30II222</t>
  </si>
  <si>
    <t>Rekha Chavan</t>
  </si>
  <si>
    <t>Nagpur-Mumbai</t>
  </si>
  <si>
    <t>MH31JJ323</t>
  </si>
  <si>
    <t>Sachin Lokhande</t>
  </si>
  <si>
    <t>MH32KK424</t>
  </si>
  <si>
    <t>Asha Patil</t>
  </si>
  <si>
    <t>Pune-Nashik</t>
  </si>
  <si>
    <t>MH33LL525</t>
  </si>
  <si>
    <t>Ganesh More</t>
  </si>
  <si>
    <t>Mixed Excel Function Questions (TRIM, UPPER, LOWER, TEXT)</t>
  </si>
  <si>
    <t>Rajesh       Patil</t>
  </si>
  <si>
    <t>7. Convert BusNumber into lowercase format.</t>
  </si>
  <si>
    <t>8. Display TicketPrice with ₹ symbol using TEXT function.</t>
  </si>
  <si>
    <t>9. Remove extra spaces from Route column and convert to Proper Case.</t>
  </si>
  <si>
    <t>10. Convert ArrivalTime into 12-hour format using TEXT function.</t>
  </si>
  <si>
    <r>
      <t xml:space="preserve">1. Find the </t>
    </r>
    <r>
      <rPr>
        <b/>
        <sz val="11"/>
        <color rgb="FF000000"/>
        <rFont val="Calibri"/>
        <family val="2"/>
        <scheme val="minor"/>
      </rPr>
      <t>DriverName</t>
    </r>
    <r>
      <rPr>
        <sz val="11"/>
        <color rgb="FF000000"/>
        <rFont val="Calibri"/>
        <family val="2"/>
        <scheme val="minor"/>
      </rPr>
      <t xml:space="preserve"> for BusID = 12.</t>
    </r>
  </si>
  <si>
    <r>
      <t xml:space="preserve">2. Retrieve the </t>
    </r>
    <r>
      <rPr>
        <b/>
        <sz val="11"/>
        <color rgb="FF000000"/>
        <rFont val="Calibri"/>
        <family val="2"/>
        <scheme val="minor"/>
      </rPr>
      <t>Route</t>
    </r>
    <r>
      <rPr>
        <sz val="11"/>
        <color rgb="FF000000"/>
        <rFont val="Calibri"/>
        <family val="2"/>
        <scheme val="minor"/>
      </rPr>
      <t xml:space="preserve"> for BusID = 5.</t>
    </r>
  </si>
  <si>
    <r>
      <t xml:space="preserve">3. Find the </t>
    </r>
    <r>
      <rPr>
        <b/>
        <sz val="11"/>
        <color rgb="FF000000"/>
        <rFont val="Calibri"/>
        <family val="2"/>
        <scheme val="minor"/>
      </rPr>
      <t>TicketPrice</t>
    </r>
    <r>
      <rPr>
        <sz val="11"/>
        <color rgb="FF000000"/>
        <rFont val="Calibri"/>
        <family val="2"/>
        <scheme val="minor"/>
      </rPr>
      <t xml:space="preserve"> for BusID = 22.</t>
    </r>
  </si>
  <si>
    <r>
      <t xml:space="preserve">4. Retrieve the </t>
    </r>
    <r>
      <rPr>
        <b/>
        <sz val="11"/>
        <color rgb="FF000000"/>
        <rFont val="Calibri"/>
        <family val="2"/>
        <scheme val="minor"/>
      </rPr>
      <t>BusType</t>
    </r>
    <r>
      <rPr>
        <sz val="11"/>
        <color rgb="FF000000"/>
        <rFont val="Calibri"/>
        <family val="2"/>
        <scheme val="minor"/>
      </rPr>
      <t xml:space="preserve"> for BusID = 3.</t>
    </r>
  </si>
  <si>
    <r>
      <t xml:space="preserve">5. Find the </t>
    </r>
    <r>
      <rPr>
        <b/>
        <sz val="11"/>
        <color rgb="FF000000"/>
        <rFont val="Calibri"/>
        <family val="2"/>
        <scheme val="minor"/>
      </rPr>
      <t>DepartureTime</t>
    </r>
    <r>
      <rPr>
        <sz val="11"/>
        <color rgb="FF000000"/>
        <rFont val="Calibri"/>
        <family val="2"/>
        <scheme val="minor"/>
      </rPr>
      <t xml:space="preserve"> for BusID = 15.</t>
    </r>
  </si>
  <si>
    <r>
      <t xml:space="preserve">6. Retrieve the </t>
    </r>
    <r>
      <rPr>
        <b/>
        <sz val="11"/>
        <color rgb="FF000000"/>
        <rFont val="Calibri"/>
        <family val="2"/>
        <scheme val="minor"/>
      </rPr>
      <t>ArrivalTime</t>
    </r>
    <r>
      <rPr>
        <sz val="11"/>
        <color rgb="FF000000"/>
        <rFont val="Calibri"/>
        <family val="2"/>
        <scheme val="minor"/>
      </rPr>
      <t xml:space="preserve"> for BusID = 10.</t>
    </r>
  </si>
  <si>
    <r>
      <t xml:space="preserve">7. Find the </t>
    </r>
    <r>
      <rPr>
        <b/>
        <sz val="11"/>
        <color rgb="FF000000"/>
        <rFont val="Calibri"/>
        <family val="2"/>
        <scheme val="minor"/>
      </rPr>
      <t>Source and Destination</t>
    </r>
    <r>
      <rPr>
        <sz val="11"/>
        <color rgb="FF000000"/>
        <rFont val="Calibri"/>
        <family val="2"/>
        <scheme val="minor"/>
      </rPr>
      <t xml:space="preserve"> for BusID = 24.</t>
    </r>
  </si>
  <si>
    <r>
      <t xml:space="preserve">8. Retrieve the </t>
    </r>
    <r>
      <rPr>
        <b/>
        <sz val="11"/>
        <color rgb="FF000000"/>
        <rFont val="Calibri"/>
        <family val="2"/>
        <scheme val="minor"/>
      </rPr>
      <t>BusNumber</t>
    </r>
    <r>
      <rPr>
        <sz val="11"/>
        <color rgb="FF000000"/>
        <rFont val="Calibri"/>
        <family val="2"/>
        <scheme val="minor"/>
      </rPr>
      <t xml:space="preserve"> for BusID = 8.</t>
    </r>
  </si>
  <si>
    <r>
      <t xml:space="preserve">9. Find the </t>
    </r>
    <r>
      <rPr>
        <b/>
        <sz val="11"/>
        <color rgb="FF000000"/>
        <rFont val="Calibri"/>
        <family val="2"/>
        <scheme val="minor"/>
      </rPr>
      <t>TicketPrice and BusType</t>
    </r>
    <r>
      <rPr>
        <sz val="11"/>
        <color rgb="FF000000"/>
        <rFont val="Calibri"/>
        <family val="2"/>
        <scheme val="minor"/>
      </rPr>
      <t xml:space="preserve"> for BusID = 21.</t>
    </r>
  </si>
  <si>
    <r>
      <t xml:space="preserve">10. Retrieve the </t>
    </r>
    <r>
      <rPr>
        <b/>
        <sz val="11"/>
        <color rgb="FF000000"/>
        <rFont val="Calibri"/>
        <family val="2"/>
        <scheme val="minor"/>
      </rPr>
      <t>DriverName and Route</t>
    </r>
    <r>
      <rPr>
        <sz val="11"/>
        <color rgb="FF000000"/>
        <rFont val="Calibri"/>
        <family val="2"/>
        <scheme val="minor"/>
      </rPr>
      <t xml:space="preserve"> for BusID = 18.</t>
    </r>
  </si>
  <si>
    <r>
      <t xml:space="preserve">11. Using BusNumber = "MH14CD202", find the </t>
    </r>
    <r>
      <rPr>
        <b/>
        <sz val="11"/>
        <color rgb="FF000000"/>
        <rFont val="Calibri"/>
        <family val="2"/>
        <scheme val="minor"/>
      </rPr>
      <t>DriverName</t>
    </r>
    <r>
      <rPr>
        <sz val="11"/>
        <color rgb="FF000000"/>
        <rFont val="Calibri"/>
        <family val="2"/>
        <scheme val="minor"/>
      </rPr>
      <t>.</t>
    </r>
  </si>
  <si>
    <r>
      <t xml:space="preserve">12. Using BusNumber = "MH28GG020", retrieve the </t>
    </r>
    <r>
      <rPr>
        <b/>
        <sz val="11"/>
        <color rgb="FF000000"/>
        <rFont val="Calibri"/>
        <family val="2"/>
        <scheme val="minor"/>
      </rPr>
      <t>Route</t>
    </r>
    <r>
      <rPr>
        <sz val="11"/>
        <color rgb="FF000000"/>
        <rFont val="Calibri"/>
        <family val="2"/>
        <scheme val="minor"/>
      </rPr>
      <t>.</t>
    </r>
  </si>
  <si>
    <r>
      <t xml:space="preserve">13. Using BusNumber = "MH10OP808", find the </t>
    </r>
    <r>
      <rPr>
        <b/>
        <sz val="11"/>
        <color rgb="FF000000"/>
        <rFont val="Calibri"/>
        <family val="2"/>
        <scheme val="minor"/>
      </rPr>
      <t>TicketPrice</t>
    </r>
    <r>
      <rPr>
        <sz val="11"/>
        <color rgb="FF000000"/>
        <rFont val="Calibri"/>
        <family val="2"/>
        <scheme val="minor"/>
      </rPr>
      <t>.</t>
    </r>
  </si>
  <si>
    <r>
      <t xml:space="preserve">14. Using BusNumber = "MH25DD717", retrieve the </t>
    </r>
    <r>
      <rPr>
        <b/>
        <sz val="11"/>
        <color rgb="FF000000"/>
        <rFont val="Calibri"/>
        <family val="2"/>
        <scheme val="minor"/>
      </rPr>
      <t>Source</t>
    </r>
    <r>
      <rPr>
        <sz val="11"/>
        <color rgb="FF000000"/>
        <rFont val="Calibri"/>
        <family val="2"/>
        <scheme val="minor"/>
      </rPr>
      <t>.</t>
    </r>
  </si>
  <si>
    <r>
      <t xml:space="preserve">15. Using BusNumber = "MH31JJ323", find the </t>
    </r>
    <r>
      <rPr>
        <b/>
        <sz val="11"/>
        <color rgb="FF000000"/>
        <rFont val="Calibri"/>
        <family val="2"/>
        <scheme val="minor"/>
      </rPr>
      <t>Destination and BusType</t>
    </r>
    <r>
      <rPr>
        <sz val="11"/>
        <color rgb="FF000000"/>
        <rFont val="Calibri"/>
        <family val="2"/>
        <scheme val="minor"/>
      </rPr>
      <t>.</t>
    </r>
  </si>
  <si>
    <r>
      <t xml:space="preserve">1. Convert all </t>
    </r>
    <r>
      <rPr>
        <b/>
        <sz val="11"/>
        <color rgb="FF000000"/>
        <rFont val="Calibri"/>
        <family val="2"/>
        <scheme val="minor"/>
      </rPr>
      <t>DriverName</t>
    </r>
    <r>
      <rPr>
        <sz val="11"/>
        <color rgb="FF000000"/>
        <rFont val="Calibri"/>
        <family val="2"/>
        <scheme val="minor"/>
      </rPr>
      <t xml:space="preserve"> values into </t>
    </r>
    <r>
      <rPr>
        <b/>
        <sz val="11"/>
        <color rgb="FF000000"/>
        <rFont val="Calibri"/>
        <family val="2"/>
        <scheme val="minor"/>
      </rPr>
      <t>UPPERCASE</t>
    </r>
    <r>
      <rPr>
        <sz val="11"/>
        <color rgb="FF000000"/>
        <rFont val="Calibri"/>
        <family val="2"/>
        <scheme val="minor"/>
      </rPr>
      <t>.</t>
    </r>
  </si>
  <si>
    <t>RAJESH PATIL</t>
  </si>
  <si>
    <r>
      <t xml:space="preserve">2. Convert all </t>
    </r>
    <r>
      <rPr>
        <b/>
        <sz val="11"/>
        <color rgb="FF000000"/>
        <rFont val="Calibri"/>
        <family val="2"/>
        <scheme val="minor"/>
      </rPr>
      <t>Route</t>
    </r>
    <r>
      <rPr>
        <sz val="11"/>
        <color rgb="FF000000"/>
        <rFont val="Calibri"/>
        <family val="2"/>
        <scheme val="minor"/>
      </rPr>
      <t xml:space="preserve"> names into </t>
    </r>
    <r>
      <rPr>
        <b/>
        <sz val="11"/>
        <color rgb="FF000000"/>
        <rFont val="Calibri"/>
        <family val="2"/>
        <scheme val="minor"/>
      </rPr>
      <t>lowercase</t>
    </r>
    <r>
      <rPr>
        <sz val="11"/>
        <color rgb="FF000000"/>
        <rFont val="Calibri"/>
        <family val="2"/>
        <scheme val="minor"/>
      </rPr>
      <t>.</t>
    </r>
  </si>
  <si>
    <t>pune-mumbai</t>
  </si>
  <si>
    <r>
      <t xml:space="preserve">3. Assume there are extra spaces in DriverName — remove them using </t>
    </r>
    <r>
      <rPr>
        <b/>
        <sz val="11"/>
        <color rgb="FF000000"/>
        <rFont val="Calibri"/>
        <family val="2"/>
        <scheme val="minor"/>
      </rPr>
      <t>TRIM</t>
    </r>
    <r>
      <rPr>
        <sz val="11"/>
        <color rgb="FF000000"/>
        <rFont val="Calibri"/>
        <family val="2"/>
        <scheme val="minor"/>
      </rPr>
      <t>.</t>
    </r>
  </si>
  <si>
    <r>
      <t xml:space="preserve">4. Convert TicketPrice into currency format using </t>
    </r>
    <r>
      <rPr>
        <b/>
        <sz val="11"/>
        <color rgb="FF000000"/>
        <rFont val="Calibri"/>
        <family val="2"/>
        <scheme val="minor"/>
      </rPr>
      <t>TEXT function</t>
    </r>
    <r>
      <rPr>
        <sz val="11"/>
        <color rgb="FF000000"/>
        <rFont val="Calibri"/>
        <family val="2"/>
        <scheme val="minor"/>
      </rPr>
      <t>.</t>
    </r>
  </si>
  <si>
    <t>$450.00</t>
  </si>
  <si>
    <r>
      <t xml:space="preserve">5. Extract only the month from DepartureTime using </t>
    </r>
    <r>
      <rPr>
        <b/>
        <sz val="11"/>
        <color rgb="FF000000"/>
        <rFont val="Calibri"/>
        <family val="2"/>
        <scheme val="minor"/>
      </rPr>
      <t>TEXT</t>
    </r>
    <r>
      <rPr>
        <sz val="11"/>
        <color rgb="FF000000"/>
        <rFont val="Calibri"/>
        <family val="2"/>
        <scheme val="minor"/>
      </rPr>
      <t>.</t>
    </r>
  </si>
  <si>
    <r>
      <t xml:space="preserve">6. Combine Source and Destination in uppercase using </t>
    </r>
    <r>
      <rPr>
        <b/>
        <sz val="11"/>
        <color rgb="FF000000"/>
        <rFont val="Calibri"/>
        <family val="2"/>
        <scheme val="minor"/>
      </rPr>
      <t>UPPER + CONCAT</t>
    </r>
    <r>
      <rPr>
        <sz val="11"/>
        <color rgb="FF000000"/>
        <rFont val="Calibri"/>
        <family val="2"/>
        <scheme val="minor"/>
      </rPr>
      <t>.</t>
    </r>
  </si>
  <si>
    <t>PUNE MUMBAI</t>
  </si>
  <si>
    <t>mh12ab101</t>
  </si>
  <si>
    <t>StudentID</t>
  </si>
  <si>
    <t>RollNumber</t>
  </si>
  <si>
    <t>StudentName</t>
  </si>
  <si>
    <t>Course</t>
  </si>
  <si>
    <t>Branch</t>
  </si>
  <si>
    <t>Year</t>
  </si>
  <si>
    <t>City</t>
  </si>
  <si>
    <t>FeesPaid</t>
  </si>
  <si>
    <t>AdmissionDate</t>
  </si>
  <si>
    <t>Grade</t>
  </si>
  <si>
    <t>ST101</t>
  </si>
  <si>
    <t>Rahul Patil</t>
  </si>
  <si>
    <t>BSc Data Science</t>
  </si>
  <si>
    <t>IT</t>
  </si>
  <si>
    <t>A</t>
  </si>
  <si>
    <t>ST102</t>
  </si>
  <si>
    <t>Priya Sharma</t>
  </si>
  <si>
    <t>BCA</t>
  </si>
  <si>
    <t>Computer</t>
  </si>
  <si>
    <t>B</t>
  </si>
  <si>
    <t>ST103</t>
  </si>
  <si>
    <t>BBA</t>
  </si>
  <si>
    <t>Management</t>
  </si>
  <si>
    <t>ST104</t>
  </si>
  <si>
    <t>BSc IT</t>
  </si>
  <si>
    <t>C</t>
  </si>
  <si>
    <t>ST105</t>
  </si>
  <si>
    <t>BCom</t>
  </si>
  <si>
    <t>Commerce</t>
  </si>
  <si>
    <t>Delhi</t>
  </si>
  <si>
    <t>ST106</t>
  </si>
  <si>
    <t>Hyderabad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</si>
  <si>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</si>
  <si>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</si>
  <si>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</si>
  <si>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</si>
  <si>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</si>
  <si>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</si>
  <si>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</si>
  <si>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</si>
  <si>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</si>
  <si>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Vikram Gupta</t>
  </si>
  <si>
    <t>ST116</t>
  </si>
  <si>
    <t>ST117</t>
  </si>
  <si>
    <t>ST118</t>
  </si>
  <si>
    <t>ST119</t>
  </si>
  <si>
    <t>ST120</t>
  </si>
  <si>
    <t>ST121</t>
  </si>
  <si>
    <t>ST122</t>
  </si>
  <si>
    <t>Pallavi Patil</t>
  </si>
  <si>
    <t>ST123</t>
  </si>
  <si>
    <t>ST124</t>
  </si>
  <si>
    <t>Meena Shinde</t>
  </si>
  <si>
    <t>ST125</t>
  </si>
  <si>
    <t>Nitin Kale</t>
  </si>
  <si>
    <t>🔹 Using StudentID as Lookup Value</t>
  </si>
  <si>
    <r>
      <t xml:space="preserve">1. Find the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 xml:space="preserve"> for StudentID = 12.</t>
    </r>
  </si>
  <si>
    <r>
      <t xml:space="preserve">2. Retrieve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for StudentID = 5.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</si>
  <si>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 xml:space="preserve"> for StudentID = 21.</t>
    </r>
  </si>
  <si>
    <r>
      <t xml:space="preserve">4. Retrieve the </t>
    </r>
    <r>
      <rPr>
        <b/>
        <sz val="11"/>
        <color theme="1"/>
        <rFont val="Calibri"/>
        <family val="2"/>
        <scheme val="minor"/>
      </rPr>
      <t>Grade</t>
    </r>
    <r>
      <rPr>
        <sz val="11"/>
        <color theme="1"/>
        <rFont val="Calibri"/>
        <family val="2"/>
        <scheme val="minor"/>
      </rPr>
      <t xml:space="preserve"> for StudentID = 4.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</si>
  <si>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for StudentID = 18.</t>
    </r>
  </si>
  <si>
    <r>
      <t xml:space="preserve">6. Retrieve the </t>
    </r>
    <r>
      <rPr>
        <b/>
        <sz val="11"/>
        <color theme="1"/>
        <rFont val="Calibri"/>
        <family val="2"/>
        <scheme val="minor"/>
      </rPr>
      <t>Branch and Year</t>
    </r>
    <r>
      <rPr>
        <sz val="11"/>
        <color theme="1"/>
        <rFont val="Calibri"/>
        <family val="2"/>
        <scheme val="minor"/>
      </rPr>
      <t xml:space="preserve"> for StudentID = 9.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</si>
  <si>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AdmissionDate</t>
    </r>
    <r>
      <rPr>
        <sz val="11"/>
        <color theme="1"/>
        <rFont val="Calibri"/>
        <family val="2"/>
        <scheme val="minor"/>
      </rPr>
      <t xml:space="preserve"> for StudentID = 15.</t>
    </r>
  </si>
  <si>
    <r>
      <t xml:space="preserve">8. Retrieve the </t>
    </r>
    <r>
      <rPr>
        <b/>
        <sz val="11"/>
        <color theme="1"/>
        <rFont val="Calibri"/>
        <family val="2"/>
        <scheme val="minor"/>
      </rPr>
      <t>Course and FeesPaid</t>
    </r>
    <r>
      <rPr>
        <sz val="11"/>
        <color theme="1"/>
        <rFont val="Calibri"/>
        <family val="2"/>
        <scheme val="minor"/>
      </rPr>
      <t xml:space="preserve"> for StudentID = 23.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</si>
  <si>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StudentName and Grade</t>
    </r>
    <r>
      <rPr>
        <sz val="11"/>
        <color theme="1"/>
        <rFont val="Calibri"/>
        <family val="2"/>
        <scheme val="minor"/>
      </rPr>
      <t xml:space="preserve"> for StudentID = 2.</t>
    </r>
  </si>
  <si>
    <r>
      <t xml:space="preserve">10. Retrieve the </t>
    </r>
    <r>
      <rPr>
        <b/>
        <sz val="11"/>
        <color theme="1"/>
        <rFont val="Calibri"/>
        <family val="2"/>
        <scheme val="minor"/>
      </rPr>
      <t>City and Course</t>
    </r>
    <r>
      <rPr>
        <sz val="11"/>
        <color theme="1"/>
        <rFont val="Calibri"/>
        <family val="2"/>
        <scheme val="minor"/>
      </rPr>
      <t xml:space="preserve"> for StudentID = 16.</t>
    </r>
  </si>
  <si>
    <t>🔹 Using RollNumber as Lookup Value</t>
  </si>
  <si>
    <r>
      <t xml:space="preserve">11. Using RollNumber = "ST110", find the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>.</t>
    </r>
  </si>
  <si>
    <r>
      <t xml:space="preserve">12. Using RollNumber = "ST117", retrieve the </t>
    </r>
    <r>
      <rPr>
        <b/>
        <sz val="11"/>
        <color theme="1"/>
        <rFont val="Calibri"/>
        <family val="2"/>
        <scheme val="minor"/>
      </rPr>
      <t>Branch</t>
    </r>
    <r>
      <rPr>
        <sz val="11"/>
        <color theme="1"/>
        <rFont val="Calibri"/>
        <family val="2"/>
        <scheme val="minor"/>
      </rPr>
      <t>.</t>
    </r>
  </si>
  <si>
    <r>
      <t xml:space="preserve">13. Using RollNumber = "ST103",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.</t>
    </r>
  </si>
  <si>
    <r>
      <t xml:space="preserve">14. Using RollNumber = "ST124", retrieve the </t>
    </r>
    <r>
      <rPr>
        <b/>
        <sz val="11"/>
        <color theme="1"/>
        <rFont val="Calibri"/>
        <family val="2"/>
        <scheme val="minor"/>
      </rPr>
      <t>Year and Grade</t>
    </r>
    <r>
      <rPr>
        <sz val="11"/>
        <color theme="1"/>
        <rFont val="Calibri"/>
        <family val="2"/>
        <scheme val="minor"/>
      </rPr>
      <t>.</t>
    </r>
  </si>
  <si>
    <r>
      <t xml:space="preserve">15. Using RollNumber = "ST121", find the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>.</t>
    </r>
  </si>
  <si>
    <t>🔹 Mixed Scenario Based VLOOKUP</t>
  </si>
  <si>
    <r>
      <t xml:space="preserve">16. Find the student who paid </t>
    </r>
    <r>
      <rPr>
        <b/>
        <sz val="11"/>
        <color theme="1"/>
        <rFont val="Calibri"/>
        <family val="2"/>
        <scheme val="minor"/>
      </rPr>
      <t>45000 fees</t>
    </r>
    <r>
      <rPr>
        <sz val="11"/>
        <color theme="1"/>
        <rFont val="Calibri"/>
        <family val="2"/>
        <scheme val="minor"/>
      </rPr>
      <t xml:space="preserve"> using lookup.</t>
    </r>
  </si>
  <si>
    <r>
      <t xml:space="preserve">17. Retrieve the grade of students in </t>
    </r>
    <r>
      <rPr>
        <b/>
        <sz val="11"/>
        <color theme="1"/>
        <rFont val="Calibri"/>
        <family val="2"/>
        <scheme val="minor"/>
      </rPr>
      <t>BCA course</t>
    </r>
    <r>
      <rPr>
        <sz val="11"/>
        <color theme="1"/>
        <rFont val="Calibri"/>
        <family val="2"/>
        <scheme val="minor"/>
      </rPr>
      <t xml:space="preserve"> (first match).</t>
    </r>
  </si>
  <si>
    <r>
      <t xml:space="preserve">18. Find the city of a student whose name is </t>
    </r>
    <r>
      <rPr>
        <b/>
        <sz val="11"/>
        <color theme="1"/>
        <rFont val="Calibri"/>
        <family val="2"/>
        <scheme val="minor"/>
      </rPr>
      <t>"Asha Patil"</t>
    </r>
    <r>
      <rPr>
        <sz val="11"/>
        <color theme="1"/>
        <rFont val="Calibri"/>
        <family val="2"/>
        <scheme val="minor"/>
      </rPr>
      <t xml:space="preserve"> (first match).</t>
    </r>
  </si>
  <si>
    <r>
      <t xml:space="preserve">19. Retrieve the course of the student admitted on </t>
    </r>
    <r>
      <rPr>
        <b/>
        <sz val="11"/>
        <color theme="1"/>
        <rFont val="Calibri"/>
        <family val="2"/>
        <scheme val="minor"/>
      </rPr>
      <t>16-07-2024</t>
    </r>
    <r>
      <rPr>
        <sz val="11"/>
        <color theme="1"/>
        <rFont val="Calibri"/>
        <family val="2"/>
        <scheme val="minor"/>
      </rPr>
      <t>.</t>
    </r>
  </si>
  <si>
    <t>20. Find the branch of the student having Grade = "C" (first occurrence).</t>
  </si>
  <si>
    <r>
      <t xml:space="preserve">1. Convert all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 xml:space="preserve"> values to </t>
    </r>
    <r>
      <rPr>
        <b/>
        <sz val="11"/>
        <color theme="1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>.</t>
    </r>
  </si>
  <si>
    <r>
      <t xml:space="preserve">2. Convert all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names into </t>
    </r>
    <r>
      <rPr>
        <b/>
        <sz val="11"/>
        <color theme="1"/>
        <rFont val="Calibri"/>
        <family val="2"/>
        <scheme val="minor"/>
      </rPr>
      <t>lowercase</t>
    </r>
    <r>
      <rPr>
        <sz val="11"/>
        <color theme="1"/>
        <rFont val="Calibri"/>
        <family val="2"/>
        <scheme val="minor"/>
      </rPr>
      <t>.</t>
    </r>
  </si>
  <si>
    <r>
      <t xml:space="preserve">3. Remove extra spaces from StudentName using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>.</t>
    </r>
  </si>
  <si>
    <r>
      <t xml:space="preserve">4. Format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 xml:space="preserve"> into currency format using TEXT.</t>
    </r>
  </si>
  <si>
    <t>5. Extract the month name from AdmissionDate using TEXT.</t>
  </si>
  <si>
    <t>6. Combine StudentName and City in uppercase.</t>
  </si>
  <si>
    <t>7. Convert RollNumber into lowercase.</t>
  </si>
  <si>
    <t>8. Display AdmissionDate in "dd-mmm-yyyy" format using TEXT.</t>
  </si>
  <si>
    <t>9. Remove extra spaces from Course and convert to Proper Case.</t>
  </si>
  <si>
    <t>10. Convert FeesPaid into ₹ format using TEXT function.</t>
  </si>
  <si>
    <t xml:space="preserve">convert 12hr time into 24 hr </t>
  </si>
  <si>
    <t>On Leave</t>
  </si>
  <si>
    <t>Full-Time</t>
  </si>
  <si>
    <t>arjun.reddy50@company.com</t>
  </si>
  <si>
    <t>Developer</t>
  </si>
  <si>
    <t>Finance</t>
  </si>
  <si>
    <t>Female</t>
  </si>
  <si>
    <t>Reddy</t>
  </si>
  <si>
    <t>Arjun</t>
  </si>
  <si>
    <t>Part-Time</t>
  </si>
  <si>
    <t>neha.mehta49@company.com</t>
  </si>
  <si>
    <t>Analyst</t>
  </si>
  <si>
    <t>Mehta</t>
  </si>
  <si>
    <t>Neha</t>
  </si>
  <si>
    <t>Active</t>
  </si>
  <si>
    <t>anjali.nair48@company.com</t>
  </si>
  <si>
    <t>Lead</t>
  </si>
  <si>
    <t>Operations</t>
  </si>
  <si>
    <t>Nair</t>
  </si>
  <si>
    <t>Anjali</t>
  </si>
  <si>
    <t>arjun.sharma47@company.com</t>
  </si>
  <si>
    <t>Consultant</t>
  </si>
  <si>
    <t>Male</t>
  </si>
  <si>
    <t>Sharma</t>
  </si>
  <si>
    <t>Contract</t>
  </si>
  <si>
    <t>anjali.patil46@company.com</t>
  </si>
  <si>
    <t>Patil</t>
  </si>
  <si>
    <t>pooja.yadav45@company.com</t>
  </si>
  <si>
    <t>Sales</t>
  </si>
  <si>
    <t>Yadav</t>
  </si>
  <si>
    <t>Pooja</t>
  </si>
  <si>
    <t>karan.khan44@company.com</t>
  </si>
  <si>
    <t>Khan</t>
  </si>
  <si>
    <t>Karan</t>
  </si>
  <si>
    <t>Resigned</t>
  </si>
  <si>
    <t>Bangalore</t>
  </si>
  <si>
    <t>pooja.joshi43@company.com</t>
  </si>
  <si>
    <t>Joshi</t>
  </si>
  <si>
    <t>amit.sharma42@company.com</t>
  </si>
  <si>
    <t>Executive</t>
  </si>
  <si>
    <t>Marketing</t>
  </si>
  <si>
    <t>Amit</t>
  </si>
  <si>
    <t>priya.gupta41@company.com</t>
  </si>
  <si>
    <t>Gupta</t>
  </si>
  <si>
    <t>Priya</t>
  </si>
  <si>
    <t>vikram.gupta40@company.com</t>
  </si>
  <si>
    <t>Vikram</t>
  </si>
  <si>
    <t>sneha.deshmukh39@company.com</t>
  </si>
  <si>
    <t>Deshmukh</t>
  </si>
  <si>
    <t>Sneha</t>
  </si>
  <si>
    <t>vikram.yadav38@company.com</t>
  </si>
  <si>
    <t>sneha.deshmukh37@company.com</t>
  </si>
  <si>
    <t>karan.patil36@company.com</t>
  </si>
  <si>
    <t>Manager</t>
  </si>
  <si>
    <t>sneha.khan35@company.com</t>
  </si>
  <si>
    <t>neha.sharma34@company.com</t>
  </si>
  <si>
    <t>amit.joshi33@company.com</t>
  </si>
  <si>
    <t>pooja.gupta32@company.com</t>
  </si>
  <si>
    <t>HR</t>
  </si>
  <si>
    <t>neha.khan31@company.com</t>
  </si>
  <si>
    <t>Chennai</t>
  </si>
  <si>
    <t>sneha.yadav30@company.com</t>
  </si>
  <si>
    <t>amit.reddy29@company.com</t>
  </si>
  <si>
    <t>rahul.patil28@company.com</t>
  </si>
  <si>
    <t>Rahul</t>
  </si>
  <si>
    <t>pooja.mehta27@company.com</t>
  </si>
  <si>
    <t>priya.sharma26@company.com</t>
  </si>
  <si>
    <t>anjali.reddy25@company.com</t>
  </si>
  <si>
    <t>priya.patil24@company.com</t>
  </si>
  <si>
    <t>vikram.yadav23@company.com</t>
  </si>
  <si>
    <t>karan.deshmukh22@company.com</t>
  </si>
  <si>
    <t>pooja.reddy21@company.com</t>
  </si>
  <si>
    <t>amit.joshi20@company.com</t>
  </si>
  <si>
    <t>karan.patil19@company.com</t>
  </si>
  <si>
    <t>pooja.yadav18@company.com</t>
  </si>
  <si>
    <t>pooja.gupta17@company.com</t>
  </si>
  <si>
    <t>arjun.mehta16@company.com</t>
  </si>
  <si>
    <t>rahul.nair15@company.com</t>
  </si>
  <si>
    <t>karan.deshmukh14@company.com</t>
  </si>
  <si>
    <t>neha.sharma13@company.com</t>
  </si>
  <si>
    <t>anjali.reddy12@company.com</t>
  </si>
  <si>
    <t>rahul.yadav11@company.com</t>
  </si>
  <si>
    <t>anjali.reddy10@company.com</t>
  </si>
  <si>
    <t>rahul.deshmukh9@company.com</t>
  </si>
  <si>
    <t>pooja.joshi8@company.com</t>
  </si>
  <si>
    <t>sneha.patil7@company.com</t>
  </si>
  <si>
    <t>anjali.patil6@company.com</t>
  </si>
  <si>
    <t>anjali.nair5@company.com</t>
  </si>
  <si>
    <t>rahul.patil4@company.com</t>
  </si>
  <si>
    <t>karan.reddy3@company.com</t>
  </si>
  <si>
    <t>arjun.khan2@company.com</t>
  </si>
  <si>
    <t>rahul.reddy1@company.com</t>
  </si>
  <si>
    <t>PerformanceRating</t>
  </si>
  <si>
    <t>EmploymentType</t>
  </si>
  <si>
    <t>ExperienceYears</t>
  </si>
  <si>
    <t>Email</t>
  </si>
  <si>
    <t>HireDate</t>
  </si>
  <si>
    <t>Salary</t>
  </si>
  <si>
    <t>Designation</t>
  </si>
  <si>
    <t>Department</t>
  </si>
  <si>
    <t>Age</t>
  </si>
  <si>
    <t>Gender</t>
  </si>
  <si>
    <t>LastName</t>
  </si>
  <si>
    <t>FirstName</t>
  </si>
  <si>
    <t>EmployeeID</t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</si>
  <si>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arjun.reddy50@company.com</t>
    </r>
    <r>
      <rPr>
        <sz val="11"/>
        <color theme="1"/>
        <rFont val="Calibri"/>
        <family val="2"/>
        <scheme val="minor"/>
      </rPr>
      <t xml:space="preserve">, retrieve the employee’s </t>
    </r>
    <r>
      <rPr>
        <b/>
        <sz val="11"/>
        <color theme="1"/>
        <rFont val="Calibri"/>
        <family val="2"/>
        <scheme val="minor"/>
      </rPr>
      <t>Status and ExperienceYears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</si>
  <si>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amit.sharma42@company.com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PerformanceRating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</si>
  <si>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pooja.gupta32@company.com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City and EmploymentType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</si>
  <si>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rahul.yadav11@company.com</t>
    </r>
    <r>
      <rPr>
        <sz val="11"/>
        <color theme="1"/>
        <rFont val="Calibri"/>
        <family val="2"/>
        <scheme val="minor"/>
      </rPr>
      <t xml:space="preserve">, retrieve the employee’s </t>
    </r>
    <r>
      <rPr>
        <b/>
        <sz val="11"/>
        <color theme="1"/>
        <rFont val="Calibri"/>
        <family val="2"/>
        <scheme val="minor"/>
      </rPr>
      <t>Designation and Salary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</si>
  <si>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anjali.reddy25@company.com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</si>
  <si>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r>
      <t xml:space="preserve">10. Using EmployeeID = 47, find the employee’s </t>
    </r>
    <r>
      <rPr>
        <b/>
        <sz val="11"/>
        <color theme="1"/>
        <rFont val="Calibri"/>
        <family val="2"/>
        <scheme val="minor"/>
      </rPr>
      <t>Email and Department</t>
    </r>
    <r>
      <rPr>
        <sz val="11"/>
        <color theme="1"/>
        <rFont val="Calibri"/>
        <family val="2"/>
        <scheme val="minor"/>
      </rPr>
      <t>.</t>
    </r>
  </si>
  <si>
    <r>
      <t xml:space="preserve">9. Retrieve the </t>
    </r>
    <r>
      <rPr>
        <b/>
        <sz val="11"/>
        <color theme="1"/>
        <rFont val="Calibri"/>
        <family val="2"/>
        <scheme val="minor"/>
      </rPr>
      <t>ExperienceYears</t>
    </r>
    <r>
      <rPr>
        <sz val="11"/>
        <color theme="1"/>
        <rFont val="Calibri"/>
        <family val="2"/>
        <scheme val="minor"/>
      </rPr>
      <t xml:space="preserve"> of EmployeeID = 30.</t>
    </r>
  </si>
  <si>
    <r>
      <t xml:space="preserve">8. Using EmployeeID = 5, find the employee’s </t>
    </r>
    <r>
      <rPr>
        <b/>
        <sz val="11"/>
        <color theme="1"/>
        <rFont val="Calibri"/>
        <family val="2"/>
        <scheme val="minor"/>
      </rPr>
      <t>HireDate</t>
    </r>
    <r>
      <rPr>
        <sz val="11"/>
        <color theme="1"/>
        <rFont val="Calibri"/>
        <family val="2"/>
        <scheme val="minor"/>
      </rPr>
      <t>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</si>
  <si>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(Active/Resigned/On Leave) of EmployeeID = 36.</t>
    </r>
  </si>
  <si>
    <r>
      <t xml:space="preserve">6. Retrieve the </t>
    </r>
    <r>
      <rPr>
        <b/>
        <sz val="11"/>
        <color theme="1"/>
        <rFont val="Calibri"/>
        <family val="2"/>
        <scheme val="minor"/>
      </rPr>
      <t>PerformanceRating</t>
    </r>
    <r>
      <rPr>
        <sz val="11"/>
        <color theme="1"/>
        <rFont val="Calibri"/>
        <family val="2"/>
        <scheme val="minor"/>
      </rPr>
      <t xml:space="preserve"> of EmployeeID = 13.</t>
    </r>
  </si>
  <si>
    <r>
      <t xml:space="preserve">5. Using EmployeeID = 32, find the employee’s </t>
    </r>
    <r>
      <rPr>
        <b/>
        <sz val="11"/>
        <color theme="1"/>
        <rFont val="Calibri"/>
        <family val="2"/>
        <scheme val="minor"/>
      </rPr>
      <t>Designation and EmploymentType</t>
    </r>
    <r>
      <rPr>
        <sz val="11"/>
        <color theme="1"/>
        <rFont val="Calibri"/>
        <family val="2"/>
        <scheme val="minor"/>
      </rPr>
      <t>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</si>
  <si>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the employee whose EmployeeID is 7.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</si>
  <si>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40.</t>
    </r>
  </si>
  <si>
    <r>
      <t xml:space="preserve">2.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EmployeeID = 14.</t>
    </r>
  </si>
  <si>
    <r>
      <t xml:space="preserve">1.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FirstName and LastName</t>
    </r>
    <r>
      <rPr>
        <sz val="11"/>
        <color theme="1"/>
        <rFont val="Calibri"/>
        <family val="2"/>
        <scheme val="minor"/>
      </rPr>
      <t xml:space="preserve"> of EmployeeID = 25.</t>
    </r>
  </si>
  <si>
    <t>🔎 VLOOKUP Practice Questions</t>
  </si>
  <si>
    <r>
      <t xml:space="preserve">15. Using </t>
    </r>
    <r>
      <rPr>
        <b/>
        <sz val="11"/>
        <color theme="1"/>
        <rFont val="Calibri"/>
        <family val="2"/>
        <scheme val="minor"/>
      </rPr>
      <t>ProductName = "Headphones"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CustomerName</t>
    </r>
    <r>
      <rPr>
        <sz val="11"/>
        <color theme="1"/>
        <rFont val="Calibri"/>
        <family val="2"/>
        <scheme val="minor"/>
      </rPr>
      <t xml:space="preserve"> for the first occurrence.</t>
    </r>
  </si>
  <si>
    <r>
      <t xml:space="preserve">14. Using </t>
    </r>
    <r>
      <rPr>
        <b/>
        <sz val="11"/>
        <color theme="1"/>
        <rFont val="Calibri"/>
        <family val="2"/>
        <scheme val="minor"/>
      </rPr>
      <t>ProductName = "Desk Table"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>.</t>
    </r>
  </si>
  <si>
    <r>
      <t xml:space="preserve">13. Using </t>
    </r>
    <r>
      <rPr>
        <b/>
        <sz val="11"/>
        <color theme="1"/>
        <rFont val="Calibri"/>
        <family val="2"/>
        <scheme val="minor"/>
      </rPr>
      <t>ProductName = "Tablet"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SalesPerson</t>
    </r>
    <r>
      <rPr>
        <sz val="11"/>
        <color theme="1"/>
        <rFont val="Calibri"/>
        <family val="2"/>
        <scheme val="minor"/>
      </rPr>
      <t>.</t>
    </r>
  </si>
  <si>
    <r>
      <t xml:space="preserve">12. Using </t>
    </r>
    <r>
      <rPr>
        <b/>
        <sz val="11"/>
        <color theme="1"/>
        <rFont val="Calibri"/>
        <family val="2"/>
        <scheme val="minor"/>
      </rPr>
      <t>ProductName = "Monitor"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of the first sale.</t>
    </r>
  </si>
  <si>
    <r>
      <t xml:space="preserve">11. Using </t>
    </r>
    <r>
      <rPr>
        <b/>
        <sz val="11"/>
        <color theme="1"/>
        <rFont val="Calibri"/>
        <family val="2"/>
        <scheme val="minor"/>
      </rPr>
      <t>ProductName = "Laptop"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SalesAmount</t>
    </r>
    <r>
      <rPr>
        <sz val="11"/>
        <color theme="1"/>
        <rFont val="Calibri"/>
        <family val="2"/>
        <scheme val="minor"/>
      </rPr>
      <t xml:space="preserve"> for the first occurrence.</t>
    </r>
  </si>
  <si>
    <r>
      <t xml:space="preserve">10. Using </t>
    </r>
    <r>
      <rPr>
        <b/>
        <sz val="11"/>
        <color theme="1"/>
        <rFont val="Calibri"/>
        <family val="2"/>
        <scheme val="minor"/>
      </rPr>
      <t>SaleID = 30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SalesPerson and SalesAmount</t>
    </r>
    <r>
      <rPr>
        <sz val="11"/>
        <color theme="1"/>
        <rFont val="Calibri"/>
        <family val="2"/>
        <scheme val="minor"/>
      </rPr>
      <t>.</t>
    </r>
  </si>
  <si>
    <r>
      <t xml:space="preserve">9. Using </t>
    </r>
    <r>
      <rPr>
        <b/>
        <sz val="11"/>
        <color theme="1"/>
        <rFont val="Calibri"/>
        <family val="2"/>
        <scheme val="minor"/>
      </rPr>
      <t>SaleID = 14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Quantity and PaymentMode</t>
    </r>
    <r>
      <rPr>
        <sz val="11"/>
        <color theme="1"/>
        <rFont val="Calibri"/>
        <family val="2"/>
        <scheme val="minor"/>
      </rPr>
      <t>.</t>
    </r>
  </si>
  <si>
    <r>
      <t xml:space="preserve">8. Using </t>
    </r>
    <r>
      <rPr>
        <b/>
        <sz val="11"/>
        <color theme="1"/>
        <rFont val="Calibri"/>
        <family val="2"/>
        <scheme val="minor"/>
      </rPr>
      <t>SaleID = 27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CustomerName and Region</t>
    </r>
    <r>
      <rPr>
        <sz val="11"/>
        <color theme="1"/>
        <rFont val="Calibri"/>
        <family val="2"/>
        <scheme val="minor"/>
      </rPr>
      <t>.</t>
    </r>
  </si>
  <si>
    <r>
      <t xml:space="preserve">7. Using </t>
    </r>
    <r>
      <rPr>
        <b/>
        <sz val="11"/>
        <color theme="1"/>
        <rFont val="Calibri"/>
        <family val="2"/>
        <scheme val="minor"/>
      </rPr>
      <t>SaleID = 8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OrderDate and ProductName</t>
    </r>
    <r>
      <rPr>
        <sz val="11"/>
        <color theme="1"/>
        <rFont val="Calibri"/>
        <family val="2"/>
        <scheme val="minor"/>
      </rPr>
      <t>.</t>
    </r>
  </si>
  <si>
    <r>
      <t xml:space="preserve">6. Using </t>
    </r>
    <r>
      <rPr>
        <b/>
        <sz val="11"/>
        <color theme="1"/>
        <rFont val="Calibri"/>
        <family val="2"/>
        <scheme val="minor"/>
      </rPr>
      <t>SaleID = 20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Category and SalesAmount</t>
    </r>
    <r>
      <rPr>
        <sz val="11"/>
        <color theme="1"/>
        <rFont val="Calibri"/>
        <family val="2"/>
        <scheme val="minor"/>
      </rPr>
      <t>.</t>
    </r>
  </si>
  <si>
    <r>
      <t xml:space="preserve">5. Using </t>
    </r>
    <r>
      <rPr>
        <b/>
        <sz val="11"/>
        <color theme="1"/>
        <rFont val="Calibri"/>
        <family val="2"/>
        <scheme val="minor"/>
      </rPr>
      <t>SaleID = 3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SalesPerson</t>
    </r>
    <r>
      <rPr>
        <sz val="11"/>
        <color theme="1"/>
        <rFont val="Calibri"/>
        <family val="2"/>
        <scheme val="minor"/>
      </rPr>
      <t xml:space="preserve"> handling the sale.</t>
    </r>
  </si>
  <si>
    <r>
      <t xml:space="preserve">4. Using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PaymentMode</t>
    </r>
    <r>
      <rPr>
        <sz val="11"/>
        <color theme="1"/>
        <rFont val="Calibri"/>
        <family val="2"/>
        <scheme val="minor"/>
      </rPr>
      <t>.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</si>
  <si>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SaleID = 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of the sale.</t>
    </r>
  </si>
  <si>
    <r>
      <t xml:space="preserve">2. Using </t>
    </r>
    <r>
      <rPr>
        <b/>
        <sz val="11"/>
        <color theme="1"/>
        <rFont val="Calibri"/>
        <family val="2"/>
        <scheme val="minor"/>
      </rPr>
      <t>SaleID = 6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ProductName and Quantity</t>
    </r>
    <r>
      <rPr>
        <sz val="11"/>
        <color theme="1"/>
        <rFont val="Calibri"/>
        <family val="2"/>
        <scheme val="minor"/>
      </rPr>
      <t>.</t>
    </r>
  </si>
  <si>
    <r>
      <t xml:space="preserve">1. Using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CustomerName and SalesAmount</t>
    </r>
    <r>
      <rPr>
        <sz val="11"/>
        <color theme="1"/>
        <rFont val="Calibri"/>
        <family val="2"/>
        <scheme val="minor"/>
      </rPr>
      <t>.</t>
    </r>
  </si>
  <si>
    <t>🔎 10 VLOOKUP Questions (Using SaleID as Lookup Value)</t>
  </si>
  <si>
    <t>Desk Table</t>
  </si>
  <si>
    <t>Tablet</t>
  </si>
  <si>
    <t>Accessories</t>
  </si>
  <si>
    <t>Mouse</t>
  </si>
  <si>
    <t>Headphones</t>
  </si>
  <si>
    <t>Somnath Wagh</t>
  </si>
  <si>
    <t>Ayush Kajale</t>
  </si>
  <si>
    <t>Muskan Shaikh</t>
  </si>
  <si>
    <t>Vaishnavi Danke</t>
  </si>
  <si>
    <t>Pranav Dahatonde</t>
  </si>
  <si>
    <t>Anjali Deshmukh</t>
  </si>
  <si>
    <t>Arjun Joshi</t>
  </si>
  <si>
    <t>Neha Khan</t>
  </si>
  <si>
    <t>Vikram Nair</t>
  </si>
  <si>
    <t>Rahul Gupta</t>
  </si>
  <si>
    <t>PaymentMode</t>
  </si>
  <si>
    <t>SalesAmount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</si>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</sst>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20" fontId="0" fillId="3" borderId="1" xfId="0" applyNumberFormat="1" applyFill="1" applyBorder="1"/>
    <xf numFmtId="0" fontId="0" fillId="0" borderId="0" xfId="0" applyAlignment="1">
      <alignment horizontal="left" vertical="center" indent="1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164" fontId="3" fillId="0" borderId="0" xfId="0" applyNumberFormat="1" applyFont="1"/>
    <xf numFmtId="0" fontId="5" fillId="0" borderId="0" xfId="0" applyFont="1" applyAlignment="1">
      <alignment vertical="center"/>
    </xf>
    <xf numFmtId="0" fontId="3" fillId="4" borderId="1" xfId="0" applyFont="1" applyFill="1" applyBorder="1"/>
    <xf numFmtId="0" fontId="3" fillId="0" borderId="1" xfId="0" applyFont="1" applyBorder="1"/>
    <xf numFmtId="0" fontId="3" fillId="4" borderId="3" xfId="0" applyFont="1" applyFill="1" applyBorder="1"/>
    <xf numFmtId="20" fontId="3" fillId="4" borderId="1" xfId="0" applyNumberFormat="1" applyFont="1" applyFill="1" applyBorder="1"/>
    <xf numFmtId="0" fontId="1" fillId="5" borderId="1" xfId="0" applyFon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6" fillId="0" borderId="0" xfId="0" applyFont="1" applyAlignment="1">
      <alignment vertical="center"/>
    </xf>
    <xf numFmtId="14" fontId="0" fillId="0" borderId="0" xfId="0" applyNumberForma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14" fontId="0" fillId="8" borderId="1" xfId="0" applyNumberFormat="1" applyFill="1" applyBorder="1"/>
    <xf numFmtId="0" fontId="11" fillId="9" borderId="9" xfId="0" applyFont="1" applyFill="1" applyBorder="1"/>
    <xf numFmtId="0" fontId="11" fillId="9" borderId="8" xfId="0" applyFont="1" applyFill="1" applyBorder="1"/>
    <xf numFmtId="0" fontId="11" fillId="9" borderId="7" xfId="0" applyFont="1" applyFill="1" applyBorder="1"/>
    <xf numFmtId="0" fontId="9" fillId="10" borderId="3" xfId="0" applyFont="1" applyFill="1" applyBorder="1"/>
    <xf numFmtId="14" fontId="9" fillId="10" borderId="1" xfId="0" applyNumberFormat="1" applyFont="1" applyFill="1" applyBorder="1"/>
    <xf numFmtId="0" fontId="9" fillId="10" borderId="1" xfId="0" applyFont="1" applyFill="1" applyBorder="1"/>
    <xf numFmtId="0" fontId="9" fillId="10" borderId="6" xfId="0" applyFont="1" applyFill="1" applyBorder="1"/>
    <xf numFmtId="0" fontId="9" fillId="10" borderId="5" xfId="0" applyFont="1" applyFill="1" applyBorder="1"/>
    <xf numFmtId="14" fontId="9" fillId="10" borderId="2" xfId="0" applyNumberFormat="1" applyFont="1" applyFill="1" applyBorder="1"/>
    <xf numFmtId="0" fontId="9" fillId="10" borderId="2" xfId="0" applyFont="1" applyFill="1" applyBorder="1"/>
    <xf numFmtId="0" fontId="9" fillId="10" borderId="4" xfId="0" applyFont="1" applyFill="1" applyBorder="1"/>
    <xf numFmtId="0" fontId="1" fillId="11" borderId="1" xfId="0" applyFont="1" applyFill="1" applyBorder="1"/>
    <xf numFmtId="0" fontId="0" fillId="12" borderId="1" xfId="0" applyFill="1" applyBorder="1"/>
    <xf numFmtId="14" fontId="0" fillId="12" borderId="1" xfId="0" applyNumberFormat="1" applyFill="1" applyBorder="1"/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/>
    <xf numFmtId="14" fontId="0" fillId="8" borderId="1" xfId="0" applyNumberFormat="1" applyFill="1" applyBorder="1" applyAlignment="1">
      <alignment horizontal="center" vertical="center"/>
    </xf>
    <xf numFmtId="0" fontId="0" fillId="8" borderId="2" xfId="0" applyFill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60</xdr:row>
      <xdr:rowOff>0</xdr:rowOff>
    </xdr:from>
    <xdr:ext cx="2267266" cy="419158"/>
    <xdr:pic>
      <xdr:nvPicPr>
        <xdr:cNvPr id="2" name="Picture 1">
          <a:extLst>
            <a:ext uri="{FF2B5EF4-FFF2-40B4-BE49-F238E27FC236}">
              <a16:creationId xmlns:a16="http://schemas.microsoft.com/office/drawing/2014/main" id="{6B3A305A-AABC-4AB9-94F0-4117BD3A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0972800"/>
          <a:ext cx="2267266" cy="41915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2267266" cy="371527"/>
    <xdr:pic>
      <xdr:nvPicPr>
        <xdr:cNvPr id="3" name="Picture 2">
          <a:extLst>
            <a:ext uri="{FF2B5EF4-FFF2-40B4-BE49-F238E27FC236}">
              <a16:creationId xmlns:a16="http://schemas.microsoft.com/office/drawing/2014/main" id="{915AF028-1FE7-41CB-8390-CCADB4ECA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1704320"/>
          <a:ext cx="2267266" cy="37152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2248214" cy="266737"/>
    <xdr:pic>
      <xdr:nvPicPr>
        <xdr:cNvPr id="4" name="Picture 3">
          <a:extLst>
            <a:ext uri="{FF2B5EF4-FFF2-40B4-BE49-F238E27FC236}">
              <a16:creationId xmlns:a16="http://schemas.microsoft.com/office/drawing/2014/main" id="{FB2F9F23-973D-49B4-A128-3C7EAD32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2618720"/>
          <a:ext cx="2248214" cy="26673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47429-9146-4F6E-B7A6-E8D719DADE8F}" name="data" displayName="data" ref="A1:J31" totalsRowShown="0" headerRowDxfId="11" dataDxfId="0" headerRowBorderDxfId="14" tableBorderDxfId="13" totalsRowBorderDxfId="12">
  <autoFilter ref="A1:J31" xr:uid="{FDB5EAA5-8EAA-4D89-9C28-0A119864EB81}"/>
  <tableColumns count="10">
    <tableColumn id="1" xr3:uid="{A555F1C3-58E1-457F-8416-82816D0A94A7}" name="SaleID" dataDxfId="10"/>
    <tableColumn id="2" xr3:uid="{73216928-D981-4D7F-A9F7-97F4C9979527}" name="OrderDate" dataDxfId="9"/>
    <tableColumn id="3" xr3:uid="{13B9E53E-D2CC-4F7A-9259-B92C5E2E01F9}" name="CustomerName" dataDxfId="8"/>
    <tableColumn id="4" xr3:uid="{0D469982-0FA8-43FF-8CE6-C762F28E52AE}" name="ProductName" dataDxfId="7"/>
    <tableColumn id="5" xr3:uid="{CFDB60B2-4F24-48DA-8679-F16C1AB93463}" name="Category" dataDxfId="6"/>
    <tableColumn id="6" xr3:uid="{CC4F0CAB-9679-4D74-8589-AE6838BB82B0}" name="Region" dataDxfId="5"/>
    <tableColumn id="7" xr3:uid="{D6D0A409-E05A-48C9-93D5-CCB3CA19E07C}" name="SalesAmount" dataDxfId="4"/>
    <tableColumn id="8" xr3:uid="{3AA10277-1FFE-4711-8FB9-DE58DD27C0BC}" name="Quantity" dataDxfId="3"/>
    <tableColumn id="9" xr3:uid="{9C63560D-3411-4047-8438-38C6F45F0CE6}" name="PaymentMode" dataDxfId="2"/>
    <tableColumn id="10" xr3:uid="{AE83D3C5-0850-459C-BFAD-D68EC8045924}" name="SalesPer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L73"/>
  <sheetViews>
    <sheetView zoomScale="92" zoomScaleNormal="92" workbookViewId="0">
      <selection activeCell="P12" sqref="P12"/>
    </sheetView>
  </sheetViews>
  <sheetFormatPr defaultRowHeight="14.4" x14ac:dyDescent="0.3"/>
  <cols>
    <col min="1" max="1" width="6.21875" bestFit="1" customWidth="1"/>
    <col min="2" max="2" width="18.88671875" customWidth="1"/>
    <col min="3" max="3" width="16.21875" bestFit="1" customWidth="1"/>
    <col min="4" max="4" width="20.88671875" customWidth="1"/>
    <col min="5" max="5" width="15.109375" bestFit="1" customWidth="1"/>
    <col min="6" max="6" width="11.33203125" customWidth="1"/>
    <col min="7" max="7" width="11.109375" customWidth="1"/>
    <col min="8" max="8" width="13.88671875" customWidth="1"/>
    <col min="9" max="9" width="14" customWidth="1"/>
    <col min="10" max="10" width="9.109375" customWidth="1"/>
    <col min="11" max="11" width="16.88671875" customWidth="1"/>
    <col min="12" max="12" width="6.21875" bestFit="1" customWidth="1"/>
  </cols>
  <sheetData>
    <row r="1" spans="1:12" x14ac:dyDescent="0.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7" t="s">
        <v>5</v>
      </c>
      <c r="G1" s="47" t="s">
        <v>6</v>
      </c>
      <c r="H1" s="46" t="s">
        <v>7</v>
      </c>
      <c r="I1" s="47" t="s">
        <v>8</v>
      </c>
      <c r="J1" s="47" t="s">
        <v>9</v>
      </c>
      <c r="K1" s="47" t="s">
        <v>10</v>
      </c>
      <c r="L1" s="47" t="s">
        <v>11</v>
      </c>
    </row>
    <row r="2" spans="1:12" x14ac:dyDescent="0.3">
      <c r="A2" s="28">
        <v>1</v>
      </c>
      <c r="B2" s="48">
        <v>45660</v>
      </c>
      <c r="C2" s="28" t="s">
        <v>12</v>
      </c>
      <c r="D2" s="28" t="s">
        <v>13</v>
      </c>
      <c r="E2" s="28" t="s">
        <v>14</v>
      </c>
      <c r="F2" s="30">
        <v>1</v>
      </c>
      <c r="G2" s="30">
        <v>55000</v>
      </c>
      <c r="H2" s="28">
        <v>55000</v>
      </c>
      <c r="I2" s="30" t="s">
        <v>15</v>
      </c>
      <c r="J2" s="30" t="s">
        <v>16</v>
      </c>
      <c r="K2" s="30" t="s">
        <v>17</v>
      </c>
      <c r="L2" s="30" t="s">
        <v>18</v>
      </c>
    </row>
    <row r="3" spans="1:12" x14ac:dyDescent="0.3">
      <c r="A3" s="28">
        <v>2</v>
      </c>
      <c r="B3" s="48">
        <v>45661</v>
      </c>
      <c r="C3" s="28" t="s">
        <v>19</v>
      </c>
      <c r="D3" s="28" t="s">
        <v>20</v>
      </c>
      <c r="E3" s="28" t="s">
        <v>14</v>
      </c>
      <c r="F3" s="30">
        <v>2</v>
      </c>
      <c r="G3" s="30">
        <v>18000</v>
      </c>
      <c r="H3" s="28">
        <v>36000</v>
      </c>
      <c r="I3" s="30" t="s">
        <v>21</v>
      </c>
      <c r="J3" s="30" t="s">
        <v>22</v>
      </c>
      <c r="K3" s="30" t="s">
        <v>23</v>
      </c>
      <c r="L3" s="30" t="s">
        <v>18</v>
      </c>
    </row>
    <row r="4" spans="1:12" x14ac:dyDescent="0.3">
      <c r="A4" s="28">
        <v>3</v>
      </c>
      <c r="B4" s="48">
        <v>45662</v>
      </c>
      <c r="C4" s="28" t="s">
        <v>24</v>
      </c>
      <c r="D4" s="28" t="s">
        <v>25</v>
      </c>
      <c r="E4" s="28" t="s">
        <v>26</v>
      </c>
      <c r="F4" s="30">
        <v>3</v>
      </c>
      <c r="G4" s="30">
        <v>4500</v>
      </c>
      <c r="H4" s="28">
        <v>13500</v>
      </c>
      <c r="I4" s="30" t="s">
        <v>27</v>
      </c>
      <c r="J4" s="30" t="s">
        <v>28</v>
      </c>
      <c r="K4" s="30" t="s">
        <v>17</v>
      </c>
      <c r="L4" s="30" t="s">
        <v>18</v>
      </c>
    </row>
    <row r="5" spans="1:12" x14ac:dyDescent="0.3">
      <c r="A5" s="28">
        <v>4</v>
      </c>
      <c r="B5" s="48">
        <v>45663</v>
      </c>
      <c r="C5" s="28" t="s">
        <v>29</v>
      </c>
      <c r="D5" s="28" t="s">
        <v>30</v>
      </c>
      <c r="E5" s="28" t="s">
        <v>31</v>
      </c>
      <c r="F5" s="30">
        <v>1</v>
      </c>
      <c r="G5" s="30">
        <v>7000</v>
      </c>
      <c r="H5" s="28">
        <v>7000</v>
      </c>
      <c r="I5" s="30" t="s">
        <v>32</v>
      </c>
      <c r="J5" s="30" t="s">
        <v>33</v>
      </c>
      <c r="K5" s="30" t="s">
        <v>34</v>
      </c>
      <c r="L5" s="30" t="s">
        <v>18</v>
      </c>
    </row>
    <row r="6" spans="1:12" x14ac:dyDescent="0.3">
      <c r="A6" s="28">
        <v>5</v>
      </c>
      <c r="B6" s="48">
        <v>45664</v>
      </c>
      <c r="C6" s="28" t="s">
        <v>35</v>
      </c>
      <c r="D6" s="28" t="s">
        <v>36</v>
      </c>
      <c r="E6" s="28" t="s">
        <v>31</v>
      </c>
      <c r="F6" s="30">
        <v>2</v>
      </c>
      <c r="G6" s="30">
        <v>2300</v>
      </c>
      <c r="H6" s="28">
        <v>4600</v>
      </c>
      <c r="I6" s="30" t="s">
        <v>37</v>
      </c>
      <c r="J6" s="30" t="s">
        <v>16</v>
      </c>
      <c r="K6" s="30" t="s">
        <v>17</v>
      </c>
      <c r="L6" s="30" t="s">
        <v>18</v>
      </c>
    </row>
    <row r="7" spans="1:12" x14ac:dyDescent="0.3">
      <c r="A7" s="28">
        <v>6</v>
      </c>
      <c r="B7" s="48">
        <v>45665</v>
      </c>
      <c r="C7" s="28" t="s">
        <v>38</v>
      </c>
      <c r="D7" s="28" t="s">
        <v>39</v>
      </c>
      <c r="E7" s="28" t="s">
        <v>14</v>
      </c>
      <c r="F7" s="30">
        <v>1</v>
      </c>
      <c r="G7" s="30">
        <v>32000</v>
      </c>
      <c r="H7" s="28">
        <v>32000</v>
      </c>
      <c r="I7" s="30" t="s">
        <v>15</v>
      </c>
      <c r="J7" s="30" t="s">
        <v>22</v>
      </c>
      <c r="K7" s="30" t="s">
        <v>23</v>
      </c>
      <c r="L7" s="30" t="s">
        <v>18</v>
      </c>
    </row>
    <row r="8" spans="1:12" x14ac:dyDescent="0.3">
      <c r="A8" s="28">
        <v>7</v>
      </c>
      <c r="B8" s="48">
        <v>45666</v>
      </c>
      <c r="C8" s="28" t="s">
        <v>40</v>
      </c>
      <c r="D8" s="28" t="s">
        <v>41</v>
      </c>
      <c r="E8" s="28" t="s">
        <v>14</v>
      </c>
      <c r="F8" s="30">
        <v>2</v>
      </c>
      <c r="G8" s="30">
        <v>1500</v>
      </c>
      <c r="H8" s="28">
        <v>3000</v>
      </c>
      <c r="I8" s="30" t="s">
        <v>21</v>
      </c>
      <c r="J8" s="30" t="s">
        <v>28</v>
      </c>
      <c r="K8" s="30" t="s">
        <v>17</v>
      </c>
      <c r="L8" s="30" t="s">
        <v>18</v>
      </c>
    </row>
    <row r="9" spans="1:12" x14ac:dyDescent="0.3">
      <c r="A9" s="28">
        <v>8</v>
      </c>
      <c r="B9" s="48">
        <v>45667</v>
      </c>
      <c r="C9" s="28" t="s">
        <v>42</v>
      </c>
      <c r="D9" s="28" t="s">
        <v>43</v>
      </c>
      <c r="E9" s="28" t="s">
        <v>26</v>
      </c>
      <c r="F9" s="30">
        <v>1</v>
      </c>
      <c r="G9" s="30">
        <v>6000</v>
      </c>
      <c r="H9" s="28">
        <v>6000</v>
      </c>
      <c r="I9" s="30" t="s">
        <v>27</v>
      </c>
      <c r="J9" s="30" t="s">
        <v>33</v>
      </c>
      <c r="K9" s="30" t="s">
        <v>44</v>
      </c>
      <c r="L9" s="30" t="s">
        <v>18</v>
      </c>
    </row>
    <row r="10" spans="1:12" x14ac:dyDescent="0.3">
      <c r="A10" s="28">
        <v>9</v>
      </c>
      <c r="B10" s="48">
        <v>45668</v>
      </c>
      <c r="C10" s="30" t="s">
        <v>45</v>
      </c>
      <c r="D10" s="30" t="s">
        <v>46</v>
      </c>
      <c r="E10" s="30" t="s">
        <v>31</v>
      </c>
      <c r="F10" s="30">
        <v>1</v>
      </c>
      <c r="G10" s="30">
        <v>28000</v>
      </c>
      <c r="H10" s="28">
        <v>28000</v>
      </c>
      <c r="I10" s="30" t="s">
        <v>32</v>
      </c>
      <c r="J10" s="30" t="s">
        <v>16</v>
      </c>
      <c r="K10" s="30" t="s">
        <v>17</v>
      </c>
      <c r="L10" s="30" t="s">
        <v>18</v>
      </c>
    </row>
    <row r="11" spans="1:12" x14ac:dyDescent="0.3">
      <c r="A11" s="28">
        <v>10</v>
      </c>
      <c r="B11" s="48">
        <v>45669</v>
      </c>
      <c r="C11" s="30" t="s">
        <v>47</v>
      </c>
      <c r="D11" s="30" t="s">
        <v>48</v>
      </c>
      <c r="E11" s="30" t="s">
        <v>26</v>
      </c>
      <c r="F11" s="30">
        <v>3</v>
      </c>
      <c r="G11" s="30">
        <v>900</v>
      </c>
      <c r="H11" s="28">
        <v>2700</v>
      </c>
      <c r="I11" s="30" t="s">
        <v>37</v>
      </c>
      <c r="J11" s="30" t="s">
        <v>22</v>
      </c>
      <c r="K11" s="30" t="s">
        <v>34</v>
      </c>
      <c r="L11" s="30" t="s">
        <v>18</v>
      </c>
    </row>
    <row r="12" spans="1:12" x14ac:dyDescent="0.3">
      <c r="A12" s="28">
        <v>11</v>
      </c>
      <c r="B12" s="48">
        <v>45670</v>
      </c>
      <c r="C12" s="28" t="s">
        <v>49</v>
      </c>
      <c r="D12" s="30" t="s">
        <v>50</v>
      </c>
      <c r="E12" s="30" t="s">
        <v>31</v>
      </c>
      <c r="F12" s="30">
        <v>1</v>
      </c>
      <c r="G12" s="30">
        <v>8500</v>
      </c>
      <c r="H12" s="28">
        <v>8500</v>
      </c>
      <c r="I12" s="30" t="s">
        <v>15</v>
      </c>
      <c r="J12" s="30" t="s">
        <v>28</v>
      </c>
      <c r="K12" s="30" t="s">
        <v>23</v>
      </c>
      <c r="L12" s="30" t="s">
        <v>18</v>
      </c>
    </row>
    <row r="13" spans="1:12" x14ac:dyDescent="0.3">
      <c r="A13" s="28">
        <v>12</v>
      </c>
      <c r="B13" s="48">
        <v>45671</v>
      </c>
      <c r="C13" s="30" t="s">
        <v>51</v>
      </c>
      <c r="D13" s="30" t="s">
        <v>52</v>
      </c>
      <c r="E13" s="30" t="s">
        <v>14</v>
      </c>
      <c r="F13" s="30">
        <v>1</v>
      </c>
      <c r="G13" s="30">
        <v>12000</v>
      </c>
      <c r="H13" s="28">
        <v>12000</v>
      </c>
      <c r="I13" s="30" t="s">
        <v>21</v>
      </c>
      <c r="J13" s="30" t="s">
        <v>33</v>
      </c>
      <c r="K13" s="30" t="s">
        <v>17</v>
      </c>
      <c r="L13" s="30" t="s">
        <v>18</v>
      </c>
    </row>
    <row r="14" spans="1:12" x14ac:dyDescent="0.3">
      <c r="A14" s="28">
        <v>13</v>
      </c>
      <c r="B14" s="48">
        <v>45672</v>
      </c>
      <c r="C14" s="30" t="s">
        <v>53</v>
      </c>
      <c r="D14" s="30" t="s">
        <v>54</v>
      </c>
      <c r="E14" s="30" t="s">
        <v>55</v>
      </c>
      <c r="F14" s="30">
        <v>2</v>
      </c>
      <c r="G14" s="30">
        <v>2000</v>
      </c>
      <c r="H14" s="28">
        <v>4000</v>
      </c>
      <c r="I14" s="30" t="s">
        <v>27</v>
      </c>
      <c r="J14" s="30" t="s">
        <v>16</v>
      </c>
      <c r="K14" s="30" t="s">
        <v>44</v>
      </c>
      <c r="L14" s="30" t="s">
        <v>18</v>
      </c>
    </row>
    <row r="15" spans="1:12" x14ac:dyDescent="0.3">
      <c r="A15" s="28">
        <v>14</v>
      </c>
      <c r="B15" s="48">
        <v>45673</v>
      </c>
      <c r="C15" s="30" t="s">
        <v>56</v>
      </c>
      <c r="D15" s="30" t="s">
        <v>57</v>
      </c>
      <c r="E15" s="30" t="s">
        <v>55</v>
      </c>
      <c r="F15" s="30">
        <v>4</v>
      </c>
      <c r="G15" s="30">
        <v>400</v>
      </c>
      <c r="H15" s="28">
        <v>1600</v>
      </c>
      <c r="I15" s="30" t="s">
        <v>32</v>
      </c>
      <c r="J15" s="30" t="s">
        <v>22</v>
      </c>
      <c r="K15" s="30" t="s">
        <v>17</v>
      </c>
      <c r="L15" s="30" t="s">
        <v>18</v>
      </c>
    </row>
    <row r="16" spans="1:12" x14ac:dyDescent="0.3">
      <c r="A16" s="28">
        <v>15</v>
      </c>
      <c r="B16" s="48">
        <v>45674</v>
      </c>
      <c r="C16" s="30" t="s">
        <v>58</v>
      </c>
      <c r="D16" s="30" t="s">
        <v>59</v>
      </c>
      <c r="E16" s="30" t="s">
        <v>55</v>
      </c>
      <c r="F16" s="30">
        <v>1</v>
      </c>
      <c r="G16" s="30">
        <v>1500</v>
      </c>
      <c r="H16" s="28">
        <v>1500</v>
      </c>
      <c r="I16" s="30" t="s">
        <v>37</v>
      </c>
      <c r="J16" s="30" t="s">
        <v>28</v>
      </c>
      <c r="K16" s="30" t="s">
        <v>34</v>
      </c>
      <c r="L16" s="30" t="s">
        <v>18</v>
      </c>
    </row>
    <row r="17" spans="1:12" x14ac:dyDescent="0.3">
      <c r="A17" s="28">
        <v>16</v>
      </c>
      <c r="B17" s="48">
        <v>45675</v>
      </c>
      <c r="C17" s="30" t="s">
        <v>60</v>
      </c>
      <c r="D17" s="30" t="s">
        <v>61</v>
      </c>
      <c r="E17" s="30" t="s">
        <v>31</v>
      </c>
      <c r="F17" s="30">
        <v>1</v>
      </c>
      <c r="G17" s="30">
        <v>24000</v>
      </c>
      <c r="H17" s="28">
        <v>24000</v>
      </c>
      <c r="I17" s="30" t="s">
        <v>15</v>
      </c>
      <c r="J17" s="30" t="s">
        <v>33</v>
      </c>
      <c r="K17" s="30" t="s">
        <v>23</v>
      </c>
      <c r="L17" s="30" t="s">
        <v>18</v>
      </c>
    </row>
    <row r="18" spans="1:12" x14ac:dyDescent="0.3">
      <c r="A18" s="28">
        <v>17</v>
      </c>
      <c r="B18" s="48">
        <v>45676</v>
      </c>
      <c r="C18" s="30" t="s">
        <v>62</v>
      </c>
      <c r="D18" s="30" t="s">
        <v>63</v>
      </c>
      <c r="E18" s="30" t="s">
        <v>14</v>
      </c>
      <c r="F18" s="30">
        <v>1</v>
      </c>
      <c r="G18" s="30">
        <v>9500</v>
      </c>
      <c r="H18" s="28">
        <v>9500</v>
      </c>
      <c r="I18" s="30" t="s">
        <v>21</v>
      </c>
      <c r="J18" s="30" t="s">
        <v>16</v>
      </c>
      <c r="K18" s="30" t="s">
        <v>17</v>
      </c>
      <c r="L18" s="30" t="s">
        <v>18</v>
      </c>
    </row>
    <row r="19" spans="1:12" x14ac:dyDescent="0.3">
      <c r="A19" s="28">
        <v>18</v>
      </c>
      <c r="B19" s="48">
        <v>45677</v>
      </c>
      <c r="C19" s="30" t="s">
        <v>64</v>
      </c>
      <c r="D19" s="30" t="s">
        <v>65</v>
      </c>
      <c r="E19" s="30" t="s">
        <v>31</v>
      </c>
      <c r="F19" s="30">
        <v>2</v>
      </c>
      <c r="G19" s="30">
        <v>2700</v>
      </c>
      <c r="H19" s="28">
        <v>5400</v>
      </c>
      <c r="I19" s="30" t="s">
        <v>27</v>
      </c>
      <c r="J19" s="30" t="s">
        <v>22</v>
      </c>
      <c r="K19" s="30" t="s">
        <v>34</v>
      </c>
      <c r="L19" s="30" t="s">
        <v>18</v>
      </c>
    </row>
    <row r="20" spans="1:12" x14ac:dyDescent="0.3">
      <c r="A20" s="28">
        <v>19</v>
      </c>
      <c r="B20" s="48">
        <v>45678</v>
      </c>
      <c r="C20" s="30" t="s">
        <v>66</v>
      </c>
      <c r="D20" s="30" t="s">
        <v>67</v>
      </c>
      <c r="E20" s="30" t="s">
        <v>31</v>
      </c>
      <c r="F20" s="30">
        <v>1</v>
      </c>
      <c r="G20" s="30">
        <v>15000</v>
      </c>
      <c r="H20" s="28">
        <v>15000</v>
      </c>
      <c r="I20" s="30" t="s">
        <v>32</v>
      </c>
      <c r="J20" s="30" t="s">
        <v>28</v>
      </c>
      <c r="K20" s="30" t="s">
        <v>17</v>
      </c>
      <c r="L20" s="30" t="s">
        <v>18</v>
      </c>
    </row>
    <row r="21" spans="1:12" x14ac:dyDescent="0.3">
      <c r="A21" s="28">
        <v>20</v>
      </c>
      <c r="B21" s="48">
        <v>45679</v>
      </c>
      <c r="C21" s="30" t="s">
        <v>68</v>
      </c>
      <c r="D21" s="30" t="s">
        <v>69</v>
      </c>
      <c r="E21" s="30" t="s">
        <v>26</v>
      </c>
      <c r="F21" s="30">
        <v>1</v>
      </c>
      <c r="G21" s="30">
        <v>18000</v>
      </c>
      <c r="H21" s="28">
        <v>18000</v>
      </c>
      <c r="I21" s="30" t="s">
        <v>37</v>
      </c>
      <c r="J21" s="30" t="s">
        <v>33</v>
      </c>
      <c r="K21" s="30" t="s">
        <v>23</v>
      </c>
      <c r="L21" s="30" t="s">
        <v>18</v>
      </c>
    </row>
    <row r="22" spans="1:12" x14ac:dyDescent="0.3">
      <c r="A22" s="28">
        <v>21</v>
      </c>
      <c r="B22" s="48">
        <v>45680</v>
      </c>
      <c r="C22" s="30" t="s">
        <v>70</v>
      </c>
      <c r="D22" s="30" t="s">
        <v>71</v>
      </c>
      <c r="E22" s="30" t="s">
        <v>31</v>
      </c>
      <c r="F22" s="30">
        <v>1</v>
      </c>
      <c r="G22" s="30">
        <v>2500</v>
      </c>
      <c r="H22" s="28">
        <v>2500</v>
      </c>
      <c r="I22" s="30" t="s">
        <v>15</v>
      </c>
      <c r="J22" s="30" t="s">
        <v>16</v>
      </c>
      <c r="K22" s="30" t="s">
        <v>17</v>
      </c>
      <c r="L22" s="30" t="s">
        <v>18</v>
      </c>
    </row>
    <row r="23" spans="1:12" x14ac:dyDescent="0.3">
      <c r="A23" s="28">
        <v>22</v>
      </c>
      <c r="B23" s="48">
        <v>45681</v>
      </c>
      <c r="C23" s="30" t="s">
        <v>72</v>
      </c>
      <c r="D23" s="30" t="s">
        <v>73</v>
      </c>
      <c r="E23" s="30" t="s">
        <v>14</v>
      </c>
      <c r="F23" s="30">
        <v>2</v>
      </c>
      <c r="G23" s="30">
        <v>1200</v>
      </c>
      <c r="H23" s="28">
        <v>2400</v>
      </c>
      <c r="I23" s="30" t="s">
        <v>21</v>
      </c>
      <c r="J23" s="30" t="s">
        <v>22</v>
      </c>
      <c r="K23" s="30" t="s">
        <v>44</v>
      </c>
      <c r="L23" s="30" t="s">
        <v>18</v>
      </c>
    </row>
    <row r="24" spans="1:12" x14ac:dyDescent="0.3">
      <c r="A24" s="28">
        <v>23</v>
      </c>
      <c r="B24" s="48">
        <v>45682</v>
      </c>
      <c r="C24" s="30" t="s">
        <v>74</v>
      </c>
      <c r="D24" s="30" t="s">
        <v>75</v>
      </c>
      <c r="E24" s="30" t="s">
        <v>55</v>
      </c>
      <c r="F24" s="30">
        <v>2</v>
      </c>
      <c r="G24" s="30">
        <v>1100</v>
      </c>
      <c r="H24" s="28">
        <v>2200</v>
      </c>
      <c r="I24" s="30" t="s">
        <v>27</v>
      </c>
      <c r="J24" s="30" t="s">
        <v>28</v>
      </c>
      <c r="K24" s="30" t="s">
        <v>34</v>
      </c>
      <c r="L24" s="30" t="s">
        <v>18</v>
      </c>
    </row>
    <row r="25" spans="1:12" x14ac:dyDescent="0.3">
      <c r="A25" s="28">
        <v>24</v>
      </c>
      <c r="B25" s="48">
        <v>45683</v>
      </c>
      <c r="C25" s="30" t="s">
        <v>76</v>
      </c>
      <c r="D25" s="30" t="s">
        <v>77</v>
      </c>
      <c r="E25" s="30" t="s">
        <v>26</v>
      </c>
      <c r="F25" s="30">
        <v>1</v>
      </c>
      <c r="G25" s="30">
        <v>14000</v>
      </c>
      <c r="H25" s="28">
        <v>14000</v>
      </c>
      <c r="I25" s="30" t="s">
        <v>32</v>
      </c>
      <c r="J25" s="30" t="s">
        <v>33</v>
      </c>
      <c r="K25" s="30" t="s">
        <v>17</v>
      </c>
      <c r="L25" s="30" t="s">
        <v>18</v>
      </c>
    </row>
    <row r="26" spans="1:12" x14ac:dyDescent="0.3">
      <c r="A26" s="28">
        <v>25</v>
      </c>
      <c r="B26" s="48">
        <v>45684</v>
      </c>
      <c r="C26" s="30" t="s">
        <v>78</v>
      </c>
      <c r="D26" s="30" t="s">
        <v>79</v>
      </c>
      <c r="E26" s="30" t="s">
        <v>55</v>
      </c>
      <c r="F26" s="30">
        <v>1</v>
      </c>
      <c r="G26" s="30">
        <v>1900</v>
      </c>
      <c r="H26" s="28">
        <v>1900</v>
      </c>
      <c r="I26" s="30" t="s">
        <v>37</v>
      </c>
      <c r="J26" s="30" t="s">
        <v>16</v>
      </c>
      <c r="K26" s="30" t="s">
        <v>34</v>
      </c>
      <c r="L26" s="30" t="s">
        <v>18</v>
      </c>
    </row>
    <row r="27" spans="1:12" x14ac:dyDescent="0.3">
      <c r="A27" s="28">
        <v>26</v>
      </c>
      <c r="B27" s="48">
        <v>45685</v>
      </c>
      <c r="C27" s="30" t="s">
        <v>80</v>
      </c>
      <c r="D27" s="30" t="s">
        <v>81</v>
      </c>
      <c r="E27" s="30" t="s">
        <v>14</v>
      </c>
      <c r="F27" s="30">
        <v>1</v>
      </c>
      <c r="G27" s="30">
        <v>4500</v>
      </c>
      <c r="H27" s="28">
        <v>4500</v>
      </c>
      <c r="I27" s="30" t="s">
        <v>15</v>
      </c>
      <c r="J27" s="30" t="s">
        <v>22</v>
      </c>
      <c r="K27" s="30" t="s">
        <v>17</v>
      </c>
      <c r="L27" s="30" t="s">
        <v>18</v>
      </c>
    </row>
    <row r="28" spans="1:12" x14ac:dyDescent="0.3">
      <c r="A28" s="28">
        <v>27</v>
      </c>
      <c r="B28" s="48">
        <v>45686</v>
      </c>
      <c r="C28" s="30" t="s">
        <v>82</v>
      </c>
      <c r="D28" s="30" t="s">
        <v>83</v>
      </c>
      <c r="E28" s="30" t="s">
        <v>55</v>
      </c>
      <c r="F28" s="30">
        <v>1</v>
      </c>
      <c r="G28" s="30">
        <v>2200</v>
      </c>
      <c r="H28" s="28">
        <v>2200</v>
      </c>
      <c r="I28" s="30" t="s">
        <v>21</v>
      </c>
      <c r="J28" s="30" t="s">
        <v>28</v>
      </c>
      <c r="K28" s="30" t="s">
        <v>23</v>
      </c>
      <c r="L28" s="30" t="s">
        <v>18</v>
      </c>
    </row>
    <row r="29" spans="1:12" x14ac:dyDescent="0.3">
      <c r="A29" s="28">
        <v>28</v>
      </c>
      <c r="B29" s="48">
        <v>45687</v>
      </c>
      <c r="C29" s="30" t="s">
        <v>84</v>
      </c>
      <c r="D29" s="30" t="s">
        <v>85</v>
      </c>
      <c r="E29" s="30" t="s">
        <v>86</v>
      </c>
      <c r="F29" s="30">
        <v>5</v>
      </c>
      <c r="G29" s="30">
        <v>300</v>
      </c>
      <c r="H29" s="28">
        <v>1500</v>
      </c>
      <c r="I29" s="30" t="s">
        <v>27</v>
      </c>
      <c r="J29" s="30" t="s">
        <v>33</v>
      </c>
      <c r="K29" s="30" t="s">
        <v>17</v>
      </c>
      <c r="L29" s="30" t="s">
        <v>18</v>
      </c>
    </row>
    <row r="30" spans="1:12" x14ac:dyDescent="0.3">
      <c r="A30" s="28">
        <v>29</v>
      </c>
      <c r="B30" s="48">
        <v>45688</v>
      </c>
      <c r="C30" s="30" t="s">
        <v>87</v>
      </c>
      <c r="D30" s="30" t="s">
        <v>88</v>
      </c>
      <c r="E30" s="30" t="s">
        <v>86</v>
      </c>
      <c r="F30" s="30">
        <v>10</v>
      </c>
      <c r="G30" s="30">
        <v>50</v>
      </c>
      <c r="H30" s="28">
        <v>500</v>
      </c>
      <c r="I30" s="30" t="s">
        <v>32</v>
      </c>
      <c r="J30" s="30" t="s">
        <v>16</v>
      </c>
      <c r="K30" s="30" t="s">
        <v>34</v>
      </c>
      <c r="L30" s="30" t="s">
        <v>18</v>
      </c>
    </row>
    <row r="31" spans="1:12" x14ac:dyDescent="0.3">
      <c r="A31" s="28">
        <v>30</v>
      </c>
      <c r="B31" s="48">
        <v>45689</v>
      </c>
      <c r="C31" s="30" t="s">
        <v>89</v>
      </c>
      <c r="D31" s="30" t="s">
        <v>90</v>
      </c>
      <c r="E31" s="30" t="s">
        <v>86</v>
      </c>
      <c r="F31" s="30">
        <v>3</v>
      </c>
      <c r="G31" s="30">
        <v>150</v>
      </c>
      <c r="H31" s="28">
        <v>450</v>
      </c>
      <c r="I31" s="30" t="s">
        <v>37</v>
      </c>
      <c r="J31" s="49" t="s">
        <v>22</v>
      </c>
      <c r="K31" s="49" t="s">
        <v>17</v>
      </c>
      <c r="L31" s="49" t="s">
        <v>18</v>
      </c>
    </row>
    <row r="35" spans="1:4" x14ac:dyDescent="0.3">
      <c r="A35">
        <v>1</v>
      </c>
      <c r="B35" t="s">
        <v>91</v>
      </c>
    </row>
    <row r="37" spans="1:4" x14ac:dyDescent="0.3">
      <c r="B37">
        <v>12</v>
      </c>
      <c r="D37" t="str">
        <f>VLOOKUP(B37,A1:L31,4,0)</f>
        <v>Printer</v>
      </c>
    </row>
    <row r="39" spans="1:4" x14ac:dyDescent="0.3">
      <c r="A39">
        <v>2</v>
      </c>
      <c r="B39" t="s">
        <v>92</v>
      </c>
    </row>
    <row r="41" spans="1:4" x14ac:dyDescent="0.3">
      <c r="B41" t="s">
        <v>45</v>
      </c>
      <c r="D41">
        <f>VLOOKUP(B41,C1:L31,5,0)</f>
        <v>28000</v>
      </c>
    </row>
    <row r="43" spans="1:4" x14ac:dyDescent="0.3">
      <c r="A43">
        <v>3</v>
      </c>
      <c r="B43" t="s">
        <v>93</v>
      </c>
    </row>
    <row r="45" spans="1:4" x14ac:dyDescent="0.3">
      <c r="B45">
        <v>25</v>
      </c>
      <c r="D45">
        <f>VLOOKUP(B45,A1:L31,6,0)</f>
        <v>1</v>
      </c>
    </row>
    <row r="47" spans="1:4" x14ac:dyDescent="0.3">
      <c r="A47">
        <v>4</v>
      </c>
      <c r="B47" t="s">
        <v>94</v>
      </c>
    </row>
    <row r="49" spans="1:4" x14ac:dyDescent="0.3">
      <c r="B49">
        <v>19</v>
      </c>
      <c r="D49" t="str">
        <f>VLOOKUP(B49,A1:L31,10,0)</f>
        <v>South</v>
      </c>
    </row>
    <row r="51" spans="1:4" x14ac:dyDescent="0.3">
      <c r="A51">
        <v>5</v>
      </c>
      <c r="B51" t="s">
        <v>95</v>
      </c>
    </row>
    <row r="53" spans="1:4" x14ac:dyDescent="0.3">
      <c r="B53">
        <v>5</v>
      </c>
      <c r="D53" t="str">
        <f>VLOOKUP(B53,A1:L31,9,0)</f>
        <v>Deepa Nair</v>
      </c>
    </row>
    <row r="55" spans="1:4" x14ac:dyDescent="0.3">
      <c r="A55">
        <v>6</v>
      </c>
      <c r="B55" t="s">
        <v>96</v>
      </c>
    </row>
    <row r="57" spans="1:4" x14ac:dyDescent="0.3">
      <c r="B57" t="s">
        <v>64</v>
      </c>
      <c r="D57" t="str">
        <f>VLOOKUP(B57,C1:L31,9,0)</f>
        <v>Cash</v>
      </c>
    </row>
    <row r="59" spans="1:4" x14ac:dyDescent="0.3">
      <c r="A59">
        <v>7</v>
      </c>
      <c r="B59" t="s">
        <v>97</v>
      </c>
    </row>
    <row r="61" spans="1:4" x14ac:dyDescent="0.3">
      <c r="B61" t="s">
        <v>46</v>
      </c>
      <c r="D61">
        <f>VLOOKUP(B61,D1:L31,5,0)</f>
        <v>28000</v>
      </c>
    </row>
    <row r="63" spans="1:4" x14ac:dyDescent="0.3">
      <c r="A63">
        <v>8</v>
      </c>
      <c r="B63" t="s">
        <v>98</v>
      </c>
    </row>
    <row r="65" spans="1:4" x14ac:dyDescent="0.3">
      <c r="B65">
        <v>8</v>
      </c>
      <c r="D65" t="str">
        <f>VLOOKUP(B65,A1:L31,12,0)</f>
        <v>Paid</v>
      </c>
    </row>
    <row r="67" spans="1:4" x14ac:dyDescent="0.3">
      <c r="A67">
        <v>9</v>
      </c>
      <c r="B67" t="s">
        <v>99</v>
      </c>
    </row>
    <row r="69" spans="1:4" x14ac:dyDescent="0.3">
      <c r="B69" t="s">
        <v>56</v>
      </c>
      <c r="D69" t="str">
        <f>VLOOKUP(B69,C1:L31,3,0)</f>
        <v>Fashion</v>
      </c>
    </row>
    <row r="71" spans="1:4" x14ac:dyDescent="0.3">
      <c r="A71">
        <v>10</v>
      </c>
      <c r="B71" t="s">
        <v>100</v>
      </c>
    </row>
    <row r="73" spans="1:4" x14ac:dyDescent="0.3">
      <c r="B73">
        <v>17</v>
      </c>
      <c r="D73" s="2">
        <f>VLOOKUP(B73,A1:L31,2,0)</f>
        <v>45676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49CB-2DF8-4C05-A3AA-ED4B66A29110}">
  <dimension ref="A1:N84"/>
  <sheetViews>
    <sheetView topLeftCell="A21" workbookViewId="0">
      <selection activeCell="H39" sqref="H39"/>
    </sheetView>
  </sheetViews>
  <sheetFormatPr defaultRowHeight="14.4" x14ac:dyDescent="0.3"/>
  <cols>
    <col min="4" max="4" width="11.21875" customWidth="1"/>
  </cols>
  <sheetData>
    <row r="1" spans="1:14" x14ac:dyDescent="0.3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</row>
    <row r="2" spans="1:14" x14ac:dyDescent="0.3">
      <c r="A2" s="4">
        <v>1</v>
      </c>
      <c r="B2" s="4" t="s">
        <v>111</v>
      </c>
      <c r="C2" s="4" t="s">
        <v>112</v>
      </c>
      <c r="D2" s="4" t="s">
        <v>113</v>
      </c>
      <c r="E2" s="4" t="s">
        <v>114</v>
      </c>
      <c r="F2" s="4" t="s">
        <v>115</v>
      </c>
      <c r="G2" s="5">
        <v>0.25</v>
      </c>
      <c r="H2" s="5">
        <v>0.39583333333333331</v>
      </c>
      <c r="I2" s="4">
        <v>450</v>
      </c>
      <c r="J2" s="4" t="s">
        <v>116</v>
      </c>
    </row>
    <row r="3" spans="1:14" x14ac:dyDescent="0.3">
      <c r="A3" s="4">
        <v>2</v>
      </c>
      <c r="B3" s="4" t="s">
        <v>117</v>
      </c>
      <c r="C3" s="4" t="s">
        <v>118</v>
      </c>
      <c r="D3" s="4" t="s">
        <v>119</v>
      </c>
      <c r="E3" s="4" t="s">
        <v>115</v>
      </c>
      <c r="F3" s="4" t="s">
        <v>120</v>
      </c>
      <c r="G3" s="5">
        <v>0.29166666666666669</v>
      </c>
      <c r="H3" s="5">
        <v>0.45833333333333331</v>
      </c>
      <c r="I3" s="4">
        <v>500</v>
      </c>
      <c r="J3" s="4" t="s">
        <v>121</v>
      </c>
    </row>
    <row r="4" spans="1:14" x14ac:dyDescent="0.3">
      <c r="A4" s="4">
        <v>3</v>
      </c>
      <c r="B4" s="4" t="s">
        <v>122</v>
      </c>
      <c r="C4" s="4" t="s">
        <v>123</v>
      </c>
      <c r="D4" s="4" t="s">
        <v>124</v>
      </c>
      <c r="E4" s="4" t="s">
        <v>114</v>
      </c>
      <c r="F4" s="4" t="s">
        <v>125</v>
      </c>
      <c r="G4" s="5">
        <v>0.22916666666666666</v>
      </c>
      <c r="H4" s="5">
        <v>0.625</v>
      </c>
      <c r="I4" s="4">
        <v>1200</v>
      </c>
      <c r="J4" s="4" t="s">
        <v>126</v>
      </c>
    </row>
    <row r="5" spans="1:14" x14ac:dyDescent="0.3">
      <c r="A5" s="4">
        <v>4</v>
      </c>
      <c r="B5" s="4" t="s">
        <v>127</v>
      </c>
      <c r="C5" s="4" t="s">
        <v>128</v>
      </c>
      <c r="D5" s="4" t="s">
        <v>129</v>
      </c>
      <c r="E5" s="4" t="s">
        <v>120</v>
      </c>
      <c r="F5" s="4" t="s">
        <v>114</v>
      </c>
      <c r="G5" s="5">
        <v>0.33333333333333331</v>
      </c>
      <c r="H5" s="5">
        <v>0.5</v>
      </c>
      <c r="I5" s="4">
        <v>480</v>
      </c>
      <c r="J5" s="4" t="s">
        <v>116</v>
      </c>
    </row>
    <row r="6" spans="1:14" x14ac:dyDescent="0.3">
      <c r="A6" s="4">
        <v>5</v>
      </c>
      <c r="B6" s="4" t="s">
        <v>130</v>
      </c>
      <c r="C6" s="4" t="s">
        <v>131</v>
      </c>
      <c r="D6" s="4" t="s">
        <v>132</v>
      </c>
      <c r="E6" s="4" t="s">
        <v>115</v>
      </c>
      <c r="F6" s="4" t="s">
        <v>114</v>
      </c>
      <c r="G6" s="5">
        <v>0.375</v>
      </c>
      <c r="H6" s="5">
        <v>0.52083333333333337</v>
      </c>
      <c r="I6" s="4">
        <v>450</v>
      </c>
      <c r="J6" s="4" t="s">
        <v>116</v>
      </c>
    </row>
    <row r="7" spans="1:14" x14ac:dyDescent="0.3">
      <c r="A7" s="4">
        <v>6</v>
      </c>
      <c r="B7" s="4" t="s">
        <v>133</v>
      </c>
      <c r="C7" s="4" t="s">
        <v>134</v>
      </c>
      <c r="D7" s="4" t="s">
        <v>135</v>
      </c>
      <c r="E7" s="4" t="s">
        <v>114</v>
      </c>
      <c r="F7" s="4" t="s">
        <v>136</v>
      </c>
      <c r="G7" s="5">
        <v>0.28125</v>
      </c>
      <c r="H7" s="5">
        <v>0.44791666666666669</v>
      </c>
      <c r="I7" s="4">
        <v>350</v>
      </c>
      <c r="J7" s="4" t="s">
        <v>121</v>
      </c>
    </row>
    <row r="8" spans="1:14" x14ac:dyDescent="0.3">
      <c r="A8" s="4">
        <v>7</v>
      </c>
      <c r="B8" s="4" t="s">
        <v>137</v>
      </c>
      <c r="C8" s="4" t="s">
        <v>138</v>
      </c>
      <c r="D8" s="4" t="s">
        <v>139</v>
      </c>
      <c r="E8" s="4" t="s">
        <v>136</v>
      </c>
      <c r="F8" s="4" t="s">
        <v>114</v>
      </c>
      <c r="G8" s="5">
        <v>0.58333333333333337</v>
      </c>
      <c r="H8" s="5">
        <v>0.75</v>
      </c>
      <c r="I8" s="4">
        <v>350</v>
      </c>
      <c r="J8" s="4" t="s">
        <v>121</v>
      </c>
    </row>
    <row r="9" spans="1:14" x14ac:dyDescent="0.3">
      <c r="A9" s="4">
        <v>8</v>
      </c>
      <c r="B9" s="4" t="s">
        <v>140</v>
      </c>
      <c r="C9" s="4" t="s">
        <v>141</v>
      </c>
      <c r="D9" s="4" t="s">
        <v>142</v>
      </c>
      <c r="E9" s="4" t="s">
        <v>125</v>
      </c>
      <c r="F9" s="4" t="s">
        <v>114</v>
      </c>
      <c r="G9" s="5">
        <v>0.66666666666666663</v>
      </c>
      <c r="H9" s="5">
        <v>4.1666666666666664E-2</v>
      </c>
      <c r="I9" s="4">
        <v>1200</v>
      </c>
      <c r="J9" s="4" t="s">
        <v>126</v>
      </c>
    </row>
    <row r="10" spans="1:14" x14ac:dyDescent="0.3">
      <c r="A10" s="4">
        <v>9</v>
      </c>
      <c r="B10" s="4" t="s">
        <v>143</v>
      </c>
      <c r="C10" s="4" t="s">
        <v>144</v>
      </c>
      <c r="D10" s="4" t="s">
        <v>113</v>
      </c>
      <c r="E10" s="4" t="s">
        <v>114</v>
      </c>
      <c r="F10" s="4" t="s">
        <v>115</v>
      </c>
      <c r="G10" s="5">
        <v>0.75</v>
      </c>
      <c r="H10" s="5">
        <v>0.89583333333333337</v>
      </c>
      <c r="I10" s="4">
        <v>500</v>
      </c>
      <c r="J10" s="4" t="s">
        <v>116</v>
      </c>
      <c r="N10" s="7"/>
    </row>
    <row r="11" spans="1:14" x14ac:dyDescent="0.3">
      <c r="A11" s="4">
        <v>10</v>
      </c>
      <c r="B11" s="4" t="s">
        <v>145</v>
      </c>
      <c r="C11" s="4" t="s">
        <v>12</v>
      </c>
      <c r="D11" s="4" t="s">
        <v>146</v>
      </c>
      <c r="E11" s="4" t="s">
        <v>115</v>
      </c>
      <c r="F11" s="4" t="s">
        <v>147</v>
      </c>
      <c r="G11" s="5">
        <v>0.20833333333333334</v>
      </c>
      <c r="H11" s="5">
        <v>0.54166666666666663</v>
      </c>
      <c r="I11" s="4">
        <v>900</v>
      </c>
      <c r="J11" s="4" t="s">
        <v>126</v>
      </c>
    </row>
    <row r="12" spans="1:14" x14ac:dyDescent="0.3">
      <c r="A12" s="4">
        <v>11</v>
      </c>
      <c r="B12" s="4" t="s">
        <v>148</v>
      </c>
      <c r="C12" s="4" t="s">
        <v>149</v>
      </c>
      <c r="D12" s="4" t="s">
        <v>150</v>
      </c>
      <c r="E12" s="4" t="s">
        <v>147</v>
      </c>
      <c r="F12" s="4" t="s">
        <v>115</v>
      </c>
      <c r="G12" s="5">
        <v>0.60416666666666663</v>
      </c>
      <c r="H12" s="5">
        <v>0.9375</v>
      </c>
      <c r="I12" s="4">
        <v>900</v>
      </c>
      <c r="J12" s="4" t="s">
        <v>126</v>
      </c>
      <c r="N12" s="7"/>
    </row>
    <row r="13" spans="1:14" x14ac:dyDescent="0.3">
      <c r="A13" s="4">
        <v>12</v>
      </c>
      <c r="B13" s="4" t="s">
        <v>151</v>
      </c>
      <c r="C13" s="4" t="s">
        <v>24</v>
      </c>
      <c r="D13" s="4" t="s">
        <v>152</v>
      </c>
      <c r="E13" s="4" t="s">
        <v>114</v>
      </c>
      <c r="F13" s="4" t="s">
        <v>153</v>
      </c>
      <c r="G13" s="5">
        <v>0.30208333333333331</v>
      </c>
      <c r="H13" s="5">
        <v>0.51041666666666663</v>
      </c>
      <c r="I13" s="4">
        <v>600</v>
      </c>
      <c r="J13" s="4" t="s">
        <v>116</v>
      </c>
    </row>
    <row r="14" spans="1:14" x14ac:dyDescent="0.3">
      <c r="A14" s="4">
        <v>13</v>
      </c>
      <c r="B14" s="4" t="s">
        <v>154</v>
      </c>
      <c r="C14" s="4" t="s">
        <v>155</v>
      </c>
      <c r="D14" s="4" t="s">
        <v>156</v>
      </c>
      <c r="E14" s="4" t="s">
        <v>153</v>
      </c>
      <c r="F14" s="4" t="s">
        <v>114</v>
      </c>
      <c r="G14" s="5">
        <v>0.54166666666666663</v>
      </c>
      <c r="H14" s="5">
        <v>0.75</v>
      </c>
      <c r="I14" s="4">
        <v>600</v>
      </c>
      <c r="J14" s="4" t="s">
        <v>116</v>
      </c>
    </row>
    <row r="15" spans="1:14" x14ac:dyDescent="0.3">
      <c r="A15" s="4">
        <v>14</v>
      </c>
      <c r="B15" s="4" t="s">
        <v>157</v>
      </c>
      <c r="C15" s="4" t="s">
        <v>158</v>
      </c>
      <c r="D15" s="4" t="s">
        <v>132</v>
      </c>
      <c r="E15" s="4" t="s">
        <v>115</v>
      </c>
      <c r="F15" s="4" t="s">
        <v>114</v>
      </c>
      <c r="G15" s="5">
        <v>0.79166666666666663</v>
      </c>
      <c r="H15" s="5">
        <v>0.9375</v>
      </c>
      <c r="I15" s="4">
        <v>480</v>
      </c>
      <c r="J15" s="4" t="s">
        <v>121</v>
      </c>
    </row>
    <row r="16" spans="1:14" x14ac:dyDescent="0.3">
      <c r="A16" s="4">
        <v>15</v>
      </c>
      <c r="B16" s="4" t="s">
        <v>159</v>
      </c>
      <c r="C16" s="4" t="s">
        <v>160</v>
      </c>
      <c r="D16" s="4" t="s">
        <v>113</v>
      </c>
      <c r="E16" s="4" t="s">
        <v>114</v>
      </c>
      <c r="F16" s="4" t="s">
        <v>115</v>
      </c>
      <c r="G16" s="5">
        <v>0.91666666666666663</v>
      </c>
      <c r="H16" s="5">
        <v>6.25E-2</v>
      </c>
      <c r="I16" s="4">
        <v>550</v>
      </c>
      <c r="J16" s="4" t="s">
        <v>126</v>
      </c>
    </row>
    <row r="17" spans="1:11" x14ac:dyDescent="0.3">
      <c r="A17" s="4">
        <v>16</v>
      </c>
      <c r="B17" s="4" t="s">
        <v>161</v>
      </c>
      <c r="C17" s="4" t="s">
        <v>162</v>
      </c>
      <c r="D17" s="4" t="s">
        <v>163</v>
      </c>
      <c r="E17" s="4" t="s">
        <v>120</v>
      </c>
      <c r="F17" s="4" t="s">
        <v>115</v>
      </c>
      <c r="G17" s="5">
        <v>0.27083333333333331</v>
      </c>
      <c r="H17" s="5">
        <v>0.4375</v>
      </c>
      <c r="I17" s="4">
        <v>520</v>
      </c>
      <c r="J17" s="4" t="s">
        <v>116</v>
      </c>
    </row>
    <row r="18" spans="1:11" x14ac:dyDescent="0.3">
      <c r="A18" s="4">
        <v>17</v>
      </c>
      <c r="B18" s="4" t="s">
        <v>164</v>
      </c>
      <c r="C18" s="4" t="s">
        <v>165</v>
      </c>
      <c r="D18" s="4" t="s">
        <v>119</v>
      </c>
      <c r="E18" s="4" t="s">
        <v>115</v>
      </c>
      <c r="F18" s="4" t="s">
        <v>120</v>
      </c>
      <c r="G18" s="5">
        <v>0.625</v>
      </c>
      <c r="H18" s="5">
        <v>0.79166666666666663</v>
      </c>
      <c r="I18" s="4">
        <v>500</v>
      </c>
      <c r="J18" s="4" t="s">
        <v>121</v>
      </c>
    </row>
    <row r="19" spans="1:11" x14ac:dyDescent="0.3">
      <c r="A19" s="4">
        <v>18</v>
      </c>
      <c r="B19" s="4" t="s">
        <v>166</v>
      </c>
      <c r="C19" s="4" t="s">
        <v>167</v>
      </c>
      <c r="D19" s="4" t="s">
        <v>113</v>
      </c>
      <c r="E19" s="4" t="s">
        <v>114</v>
      </c>
      <c r="F19" s="4" t="s">
        <v>115</v>
      </c>
      <c r="G19" s="5">
        <v>0.41666666666666669</v>
      </c>
      <c r="H19" s="5">
        <v>0.5625</v>
      </c>
      <c r="I19" s="4">
        <v>450</v>
      </c>
      <c r="J19" s="4" t="s">
        <v>116</v>
      </c>
    </row>
    <row r="20" spans="1:11" x14ac:dyDescent="0.3">
      <c r="A20" s="4">
        <v>19</v>
      </c>
      <c r="B20" s="4" t="s">
        <v>168</v>
      </c>
      <c r="C20" s="4" t="s">
        <v>169</v>
      </c>
      <c r="D20" s="4" t="s">
        <v>170</v>
      </c>
      <c r="E20" s="4" t="s">
        <v>115</v>
      </c>
      <c r="F20" s="4" t="s">
        <v>171</v>
      </c>
      <c r="G20" s="5">
        <v>0.45833333333333331</v>
      </c>
      <c r="H20" s="5">
        <v>0.66666666666666663</v>
      </c>
      <c r="I20" s="4">
        <v>650</v>
      </c>
      <c r="J20" s="4" t="s">
        <v>116</v>
      </c>
    </row>
    <row r="21" spans="1:11" x14ac:dyDescent="0.3">
      <c r="A21" s="4">
        <v>20</v>
      </c>
      <c r="B21" s="4" t="s">
        <v>172</v>
      </c>
      <c r="C21" s="4" t="s">
        <v>173</v>
      </c>
      <c r="D21" s="4" t="s">
        <v>174</v>
      </c>
      <c r="E21" s="4" t="s">
        <v>171</v>
      </c>
      <c r="F21" s="4" t="s">
        <v>115</v>
      </c>
      <c r="G21" s="5">
        <v>0.70833333333333337</v>
      </c>
      <c r="H21" s="5">
        <v>0.91666666666666663</v>
      </c>
      <c r="I21" s="4">
        <v>650</v>
      </c>
      <c r="J21" s="4" t="s">
        <v>116</v>
      </c>
    </row>
    <row r="22" spans="1:11" x14ac:dyDescent="0.3">
      <c r="A22" s="4">
        <v>21</v>
      </c>
      <c r="B22" s="4" t="s">
        <v>175</v>
      </c>
      <c r="C22" s="4" t="s">
        <v>176</v>
      </c>
      <c r="D22" s="4" t="s">
        <v>113</v>
      </c>
      <c r="E22" s="4" t="s">
        <v>114</v>
      </c>
      <c r="F22" s="4" t="s">
        <v>115</v>
      </c>
      <c r="G22" s="5">
        <v>0.1875</v>
      </c>
      <c r="H22" s="5">
        <v>0.33333333333333331</v>
      </c>
      <c r="I22" s="4">
        <v>400</v>
      </c>
      <c r="J22" s="4" t="s">
        <v>121</v>
      </c>
    </row>
    <row r="23" spans="1:11" x14ac:dyDescent="0.3">
      <c r="A23" s="4">
        <v>22</v>
      </c>
      <c r="B23" s="4" t="s">
        <v>177</v>
      </c>
      <c r="C23" s="4" t="s">
        <v>178</v>
      </c>
      <c r="D23" s="4" t="s">
        <v>179</v>
      </c>
      <c r="E23" s="4" t="s">
        <v>125</v>
      </c>
      <c r="F23" s="4" t="s">
        <v>115</v>
      </c>
      <c r="G23" s="5">
        <v>0.25</v>
      </c>
      <c r="H23" s="5">
        <v>0.75</v>
      </c>
      <c r="I23" s="4">
        <v>1300</v>
      </c>
      <c r="J23" s="4" t="s">
        <v>126</v>
      </c>
    </row>
    <row r="24" spans="1:11" x14ac:dyDescent="0.3">
      <c r="A24" s="4">
        <v>23</v>
      </c>
      <c r="B24" s="4" t="s">
        <v>180</v>
      </c>
      <c r="C24" s="4" t="s">
        <v>181</v>
      </c>
      <c r="D24" s="4" t="s">
        <v>132</v>
      </c>
      <c r="E24" s="4" t="s">
        <v>115</v>
      </c>
      <c r="F24" s="4" t="s">
        <v>114</v>
      </c>
      <c r="G24" s="5">
        <v>0.5</v>
      </c>
      <c r="H24" s="5">
        <v>0.64583333333333337</v>
      </c>
      <c r="I24" s="4">
        <v>450</v>
      </c>
      <c r="J24" s="4" t="s">
        <v>116</v>
      </c>
    </row>
    <row r="25" spans="1:11" x14ac:dyDescent="0.3">
      <c r="A25" s="4">
        <v>24</v>
      </c>
      <c r="B25" s="4" t="s">
        <v>182</v>
      </c>
      <c r="C25" s="4" t="s">
        <v>183</v>
      </c>
      <c r="D25" s="4" t="s">
        <v>184</v>
      </c>
      <c r="E25" s="4" t="s">
        <v>114</v>
      </c>
      <c r="F25" s="4" t="s">
        <v>120</v>
      </c>
      <c r="G25" s="5">
        <v>0.39583333333333331</v>
      </c>
      <c r="H25" s="5">
        <v>0.5625</v>
      </c>
      <c r="I25" s="4">
        <v>550</v>
      </c>
      <c r="J25" s="4" t="s">
        <v>116</v>
      </c>
    </row>
    <row r="26" spans="1:11" x14ac:dyDescent="0.3">
      <c r="A26" s="4">
        <v>25</v>
      </c>
      <c r="B26" s="4" t="s">
        <v>185</v>
      </c>
      <c r="C26" s="4" t="s">
        <v>186</v>
      </c>
      <c r="D26" s="4" t="s">
        <v>129</v>
      </c>
      <c r="E26" s="4" t="s">
        <v>120</v>
      </c>
      <c r="F26" s="4" t="s">
        <v>114</v>
      </c>
      <c r="G26" s="5">
        <v>0.77083333333333337</v>
      </c>
      <c r="H26" s="5">
        <v>0.9375</v>
      </c>
      <c r="I26" s="4">
        <v>480</v>
      </c>
      <c r="J26" s="4" t="s">
        <v>121</v>
      </c>
    </row>
    <row r="30" spans="1:11" x14ac:dyDescent="0.3">
      <c r="A30" s="10" t="s">
        <v>193</v>
      </c>
      <c r="B30" s="10"/>
      <c r="C30" s="10"/>
      <c r="D30" s="10"/>
      <c r="E30" s="9"/>
      <c r="F30" s="9"/>
      <c r="G30" s="9"/>
      <c r="H30" s="9"/>
      <c r="I30" s="9"/>
      <c r="J30" s="9"/>
      <c r="K30" s="9"/>
    </row>
    <row r="31" spans="1:11" x14ac:dyDescent="0.3">
      <c r="A31" s="10">
        <v>12</v>
      </c>
      <c r="B31" s="9"/>
      <c r="C31" s="9"/>
      <c r="D31" s="9" t="s">
        <v>24</v>
      </c>
      <c r="E31" s="9"/>
      <c r="F31" s="9"/>
      <c r="G31" s="9"/>
      <c r="H31" s="9"/>
      <c r="I31" s="9"/>
      <c r="J31" s="9"/>
      <c r="K31" s="9"/>
    </row>
    <row r="32" spans="1:11" x14ac:dyDescent="0.3">
      <c r="A32" s="10" t="s">
        <v>194</v>
      </c>
      <c r="B32" s="10"/>
      <c r="C32" s="10"/>
      <c r="D32" s="10"/>
      <c r="E32" s="9"/>
      <c r="F32" s="9"/>
      <c r="G32" s="9"/>
      <c r="H32" s="9"/>
      <c r="I32" s="9"/>
      <c r="J32" s="9"/>
      <c r="K32" s="9"/>
    </row>
    <row r="33" spans="1:14" x14ac:dyDescent="0.3">
      <c r="A33" s="10">
        <v>5</v>
      </c>
      <c r="B33" s="9"/>
      <c r="C33" s="9"/>
      <c r="D33" s="9" t="s">
        <v>132</v>
      </c>
      <c r="E33" s="9"/>
      <c r="F33" s="9"/>
      <c r="G33" s="9"/>
      <c r="H33" s="9"/>
      <c r="I33" s="9"/>
      <c r="J33" s="9"/>
      <c r="K33" s="9"/>
    </row>
    <row r="34" spans="1:14" x14ac:dyDescent="0.3">
      <c r="A34" s="10" t="s">
        <v>195</v>
      </c>
      <c r="B34" s="10"/>
      <c r="C34" s="10"/>
      <c r="D34" s="10"/>
      <c r="E34" s="9"/>
      <c r="F34" s="9"/>
      <c r="G34" s="9"/>
      <c r="H34" s="9"/>
      <c r="I34" s="9"/>
      <c r="J34" s="9"/>
      <c r="K34" s="9"/>
    </row>
    <row r="35" spans="1:14" x14ac:dyDescent="0.3">
      <c r="A35" s="10">
        <v>22</v>
      </c>
      <c r="B35" s="9"/>
      <c r="C35" s="9"/>
      <c r="D35" s="9">
        <v>1300</v>
      </c>
      <c r="E35" s="9"/>
      <c r="F35" s="9"/>
      <c r="G35" s="9"/>
      <c r="H35" s="9"/>
      <c r="I35" s="9"/>
      <c r="J35" s="9"/>
      <c r="K35" s="9"/>
    </row>
    <row r="36" spans="1:14" x14ac:dyDescent="0.3">
      <c r="A36" s="10" t="s">
        <v>196</v>
      </c>
      <c r="B36" s="10"/>
      <c r="C36" s="10"/>
      <c r="D36" s="10"/>
      <c r="E36" s="9"/>
      <c r="F36" s="9"/>
      <c r="G36" s="9"/>
      <c r="H36" s="9"/>
      <c r="I36" s="9"/>
      <c r="J36" s="9"/>
      <c r="K36" s="9"/>
    </row>
    <row r="37" spans="1:14" x14ac:dyDescent="0.3">
      <c r="A37" s="10">
        <v>3</v>
      </c>
      <c r="B37" s="9"/>
      <c r="C37" s="9"/>
      <c r="D37" s="9" t="s">
        <v>126</v>
      </c>
      <c r="E37" s="9"/>
      <c r="F37" s="9"/>
      <c r="G37" s="9"/>
      <c r="H37" s="9"/>
      <c r="I37" s="9"/>
      <c r="J37" s="9"/>
      <c r="K37" s="9"/>
      <c r="N37" s="1"/>
    </row>
    <row r="38" spans="1:14" x14ac:dyDescent="0.3">
      <c r="A38" s="10" t="s">
        <v>197</v>
      </c>
      <c r="B38" s="10"/>
      <c r="C38" s="10"/>
      <c r="D38" s="10"/>
      <c r="E38" s="9"/>
      <c r="F38" s="9"/>
      <c r="G38" s="9"/>
      <c r="H38" s="9"/>
      <c r="I38" s="9"/>
      <c r="J38" s="9"/>
      <c r="K38" s="9"/>
    </row>
    <row r="39" spans="1:14" x14ac:dyDescent="0.3">
      <c r="A39" s="10">
        <v>15</v>
      </c>
      <c r="B39" s="9"/>
      <c r="C39" s="9"/>
      <c r="D39" s="11">
        <v>0.91666666666666663</v>
      </c>
      <c r="E39" s="9"/>
      <c r="F39" s="9"/>
      <c r="G39" s="9"/>
      <c r="H39" s="9"/>
      <c r="I39" s="9"/>
      <c r="J39" s="9"/>
      <c r="K39" s="9"/>
    </row>
    <row r="40" spans="1:14" x14ac:dyDescent="0.3">
      <c r="A40" s="10" t="s">
        <v>198</v>
      </c>
      <c r="B40" s="10"/>
      <c r="C40" s="10"/>
      <c r="D40" s="10"/>
      <c r="E40" s="9"/>
      <c r="F40" s="9"/>
      <c r="G40" s="9"/>
      <c r="H40" s="9"/>
      <c r="I40" s="9"/>
      <c r="J40" s="9"/>
      <c r="K40" s="9"/>
    </row>
    <row r="41" spans="1:14" x14ac:dyDescent="0.3">
      <c r="A41" s="10">
        <v>10</v>
      </c>
      <c r="B41" s="9"/>
      <c r="C41" s="9"/>
      <c r="D41" s="11">
        <v>0.54166666666666663</v>
      </c>
      <c r="E41" s="9"/>
      <c r="F41" s="9"/>
      <c r="G41" s="9"/>
      <c r="H41" s="9"/>
      <c r="I41" s="9"/>
      <c r="J41" s="9"/>
      <c r="K41" s="9"/>
    </row>
    <row r="42" spans="1:14" x14ac:dyDescent="0.3">
      <c r="A42" s="10" t="s">
        <v>199</v>
      </c>
      <c r="B42" s="10"/>
      <c r="C42" s="10"/>
      <c r="D42" s="10"/>
      <c r="E42" s="10"/>
      <c r="F42" s="9"/>
      <c r="G42" s="9"/>
      <c r="H42" s="9"/>
      <c r="I42" s="9"/>
      <c r="J42" s="9"/>
      <c r="K42" s="9"/>
    </row>
    <row r="43" spans="1:14" x14ac:dyDescent="0.3">
      <c r="A43" s="10">
        <v>24</v>
      </c>
      <c r="B43" s="9"/>
      <c r="C43" s="9"/>
      <c r="D43" s="9" t="s">
        <v>114</v>
      </c>
      <c r="E43" s="9" t="s">
        <v>120</v>
      </c>
      <c r="F43" s="9"/>
      <c r="G43" s="9"/>
      <c r="H43" s="9"/>
      <c r="I43" s="9"/>
      <c r="J43" s="9"/>
      <c r="K43" s="9"/>
    </row>
    <row r="44" spans="1:14" x14ac:dyDescent="0.3">
      <c r="A44" s="10" t="s">
        <v>200</v>
      </c>
      <c r="B44" s="10"/>
      <c r="C44" s="10"/>
      <c r="D44" s="10"/>
      <c r="E44" s="9"/>
      <c r="F44" s="9"/>
      <c r="G44" s="9"/>
      <c r="H44" s="9"/>
      <c r="I44" s="9"/>
      <c r="J44" s="9"/>
      <c r="K44" s="9"/>
    </row>
    <row r="45" spans="1:14" x14ac:dyDescent="0.3">
      <c r="A45" s="10">
        <v>8</v>
      </c>
      <c r="B45" s="9"/>
      <c r="C45" s="9"/>
      <c r="D45" s="9" t="s">
        <v>140</v>
      </c>
      <c r="E45" s="9"/>
      <c r="F45" s="9"/>
      <c r="G45" s="9"/>
      <c r="H45" s="9"/>
      <c r="I45" s="9"/>
      <c r="J45" s="9"/>
      <c r="K45" s="9"/>
    </row>
    <row r="46" spans="1:14" x14ac:dyDescent="0.3">
      <c r="A46" s="10" t="s">
        <v>201</v>
      </c>
      <c r="B46" s="10"/>
      <c r="C46" s="10"/>
      <c r="D46" s="10"/>
      <c r="E46" s="10"/>
      <c r="F46" s="9"/>
      <c r="G46" s="9"/>
      <c r="H46" s="9"/>
      <c r="I46" s="9"/>
      <c r="J46" s="9"/>
      <c r="K46" s="9"/>
    </row>
    <row r="47" spans="1:14" x14ac:dyDescent="0.3">
      <c r="A47" s="10">
        <v>21</v>
      </c>
      <c r="B47" s="9"/>
      <c r="C47" s="9"/>
      <c r="D47" s="9">
        <v>400</v>
      </c>
      <c r="E47" s="9" t="s">
        <v>121</v>
      </c>
      <c r="F47" s="9"/>
      <c r="G47" s="9"/>
      <c r="H47" s="9"/>
      <c r="I47" s="9"/>
      <c r="J47" s="9"/>
      <c r="K47" s="9"/>
    </row>
    <row r="48" spans="1:14" x14ac:dyDescent="0.3">
      <c r="A48" s="10" t="s">
        <v>202</v>
      </c>
      <c r="B48" s="10"/>
      <c r="C48" s="10"/>
      <c r="D48" s="10"/>
      <c r="E48" s="10"/>
      <c r="F48" s="10"/>
      <c r="G48" s="9"/>
      <c r="H48" s="9"/>
      <c r="I48" s="9"/>
      <c r="J48" s="9"/>
      <c r="K48" s="9"/>
    </row>
    <row r="49" spans="1:11" x14ac:dyDescent="0.3">
      <c r="A49" s="9">
        <v>18</v>
      </c>
      <c r="B49" s="9"/>
      <c r="C49" s="9"/>
      <c r="D49" s="9" t="s">
        <v>167</v>
      </c>
      <c r="E49" s="9" t="s">
        <v>113</v>
      </c>
      <c r="F49" s="9"/>
      <c r="G49" s="9"/>
      <c r="H49" s="9"/>
      <c r="I49" s="9"/>
      <c r="J49" s="9"/>
      <c r="K49" s="9"/>
    </row>
    <row r="50" spans="1:11" x14ac:dyDescent="0.3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10" t="s">
        <v>203</v>
      </c>
      <c r="B51" s="10"/>
      <c r="C51" s="10"/>
      <c r="D51" s="10"/>
      <c r="E51" s="10"/>
      <c r="F51" s="10"/>
      <c r="G51" s="9"/>
      <c r="H51" s="9"/>
      <c r="I51" s="9"/>
      <c r="J51" s="9"/>
      <c r="K51" s="9"/>
    </row>
    <row r="52" spans="1:11" x14ac:dyDescent="0.3">
      <c r="A52" s="10" t="s">
        <v>117</v>
      </c>
      <c r="B52" s="10"/>
      <c r="C52" s="9"/>
      <c r="D52" s="9" t="s">
        <v>118</v>
      </c>
      <c r="E52" s="9"/>
      <c r="F52" s="9"/>
      <c r="G52" s="9"/>
      <c r="H52" s="9"/>
      <c r="I52" s="9"/>
      <c r="J52" s="9"/>
      <c r="K52" s="9"/>
    </row>
    <row r="53" spans="1:11" x14ac:dyDescent="0.3">
      <c r="A53" s="10" t="s">
        <v>204</v>
      </c>
      <c r="B53" s="10"/>
      <c r="C53" s="10"/>
      <c r="D53" s="10"/>
      <c r="E53" s="10"/>
      <c r="F53" s="10"/>
      <c r="G53" s="9"/>
      <c r="H53" s="9"/>
      <c r="I53" s="9"/>
      <c r="J53" s="9"/>
      <c r="K53" s="9"/>
    </row>
    <row r="54" spans="1:11" x14ac:dyDescent="0.3">
      <c r="A54" s="10" t="s">
        <v>172</v>
      </c>
      <c r="B54" s="10"/>
      <c r="C54" s="9"/>
      <c r="D54" s="9" t="s">
        <v>174</v>
      </c>
      <c r="E54" s="9"/>
      <c r="F54" s="9"/>
      <c r="G54" s="9"/>
      <c r="H54" s="9"/>
      <c r="I54" s="9"/>
      <c r="J54" s="9"/>
      <c r="K54" s="9"/>
    </row>
    <row r="55" spans="1:11" x14ac:dyDescent="0.3">
      <c r="A55" s="10" t="s">
        <v>205</v>
      </c>
      <c r="B55" s="10"/>
      <c r="C55" s="10"/>
      <c r="D55" s="10"/>
      <c r="E55" s="10"/>
      <c r="F55" s="10"/>
      <c r="G55" s="9"/>
      <c r="H55" s="9"/>
      <c r="I55" s="9"/>
      <c r="J55" s="9"/>
      <c r="K55" s="9"/>
    </row>
    <row r="56" spans="1:11" x14ac:dyDescent="0.3">
      <c r="A56" s="10" t="s">
        <v>140</v>
      </c>
      <c r="B56" s="10"/>
      <c r="C56" s="9"/>
      <c r="D56" s="9">
        <v>1200</v>
      </c>
      <c r="E56" s="9"/>
      <c r="F56" s="9"/>
      <c r="G56" s="9"/>
      <c r="H56" s="9"/>
      <c r="I56" s="9"/>
      <c r="J56" s="9"/>
      <c r="K56" s="9"/>
    </row>
    <row r="57" spans="1:11" x14ac:dyDescent="0.3">
      <c r="A57" s="10" t="s">
        <v>206</v>
      </c>
      <c r="B57" s="10"/>
      <c r="C57" s="10"/>
      <c r="D57" s="10"/>
      <c r="E57" s="10"/>
      <c r="F57" s="10"/>
      <c r="G57" s="9"/>
      <c r="H57" s="9"/>
      <c r="I57" s="9"/>
      <c r="J57" s="9"/>
      <c r="K57" s="9"/>
    </row>
    <row r="58" spans="1:11" x14ac:dyDescent="0.3">
      <c r="A58" s="10" t="s">
        <v>164</v>
      </c>
      <c r="B58" s="10"/>
      <c r="C58" s="9"/>
      <c r="D58" s="9" t="s">
        <v>115</v>
      </c>
      <c r="E58" s="9"/>
      <c r="F58" s="9"/>
      <c r="G58" s="9"/>
      <c r="H58" s="9"/>
      <c r="I58" s="9"/>
      <c r="J58" s="9"/>
      <c r="K58" s="9"/>
    </row>
    <row r="59" spans="1:11" x14ac:dyDescent="0.3">
      <c r="A59" s="10" t="s">
        <v>207</v>
      </c>
      <c r="B59" s="10"/>
      <c r="C59" s="10"/>
      <c r="D59" s="10"/>
      <c r="E59" s="10"/>
      <c r="F59" s="10"/>
      <c r="G59" s="10"/>
      <c r="H59" s="9"/>
      <c r="I59" s="9"/>
      <c r="J59" s="9"/>
      <c r="K59" s="9"/>
    </row>
    <row r="60" spans="1:11" x14ac:dyDescent="0.3">
      <c r="A60" s="9" t="s">
        <v>180</v>
      </c>
      <c r="B60" s="9"/>
      <c r="C60" s="9"/>
      <c r="D60" s="9" t="s">
        <v>114</v>
      </c>
      <c r="E60" s="9" t="s">
        <v>116</v>
      </c>
      <c r="F60" s="9"/>
      <c r="G60" s="9"/>
      <c r="H60" s="9"/>
      <c r="I60" s="9"/>
      <c r="J60" s="9"/>
      <c r="K60" s="9"/>
    </row>
    <row r="61" spans="1:1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31.2" x14ac:dyDescent="0.3">
      <c r="A63" s="12" t="s">
        <v>187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x14ac:dyDescent="0.3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x14ac:dyDescent="0.3">
      <c r="A65" s="10" t="s">
        <v>208</v>
      </c>
      <c r="B65" s="10"/>
      <c r="C65" s="10"/>
      <c r="D65" s="10"/>
      <c r="E65" s="10"/>
      <c r="F65" s="9"/>
      <c r="G65" s="9"/>
      <c r="H65" s="9"/>
      <c r="I65" s="9"/>
      <c r="J65" s="9"/>
      <c r="K65" s="9"/>
    </row>
    <row r="66" spans="1:11" x14ac:dyDescent="0.3">
      <c r="A66" s="13" t="s">
        <v>112</v>
      </c>
      <c r="B66" s="9"/>
      <c r="C66" s="9"/>
      <c r="D66" s="14" t="s">
        <v>209</v>
      </c>
      <c r="E66" s="9"/>
      <c r="F66" s="9"/>
      <c r="G66" s="9"/>
      <c r="H66" s="9"/>
      <c r="I66" s="9"/>
      <c r="J66" s="9"/>
      <c r="K66" s="9"/>
    </row>
    <row r="67" spans="1:11" x14ac:dyDescent="0.3">
      <c r="A67" s="10" t="s">
        <v>210</v>
      </c>
      <c r="B67" s="10"/>
      <c r="C67" s="10"/>
      <c r="D67" s="10"/>
      <c r="E67" s="9"/>
      <c r="F67" s="9"/>
      <c r="G67" s="9"/>
      <c r="H67" s="9"/>
      <c r="I67" s="9"/>
      <c r="J67" s="9"/>
      <c r="K67" s="9"/>
    </row>
    <row r="68" spans="1:11" x14ac:dyDescent="0.3">
      <c r="A68" s="13" t="s">
        <v>113</v>
      </c>
      <c r="B68" s="9"/>
      <c r="C68" s="9"/>
      <c r="D68" s="9" t="s">
        <v>211</v>
      </c>
      <c r="E68" s="9"/>
      <c r="F68" s="9"/>
      <c r="G68" s="9"/>
      <c r="H68" s="9"/>
      <c r="I68" s="9"/>
      <c r="J68" s="9"/>
      <c r="K68" s="9"/>
    </row>
    <row r="69" spans="1:11" x14ac:dyDescent="0.3">
      <c r="A69" s="10" t="s">
        <v>212</v>
      </c>
      <c r="B69" s="10"/>
      <c r="C69" s="10"/>
      <c r="D69" s="10"/>
      <c r="E69" s="10"/>
      <c r="F69" s="10"/>
      <c r="G69" s="10"/>
      <c r="H69" s="9"/>
      <c r="I69" s="9"/>
      <c r="J69" s="9"/>
      <c r="K69" s="9"/>
    </row>
    <row r="70" spans="1:11" x14ac:dyDescent="0.3">
      <c r="A70" s="13" t="s">
        <v>188</v>
      </c>
      <c r="B70" s="9"/>
      <c r="C70" s="9"/>
      <c r="D70" s="9" t="s">
        <v>112</v>
      </c>
      <c r="E70" s="9"/>
      <c r="F70" s="9"/>
      <c r="G70" s="9"/>
      <c r="H70" s="9"/>
      <c r="I70" s="9"/>
      <c r="J70" s="9"/>
      <c r="K70" s="9"/>
    </row>
    <row r="71" spans="1:11" x14ac:dyDescent="0.3">
      <c r="A71" s="10" t="s">
        <v>213</v>
      </c>
      <c r="B71" s="10"/>
      <c r="C71" s="10"/>
      <c r="D71" s="10"/>
      <c r="E71" s="10"/>
      <c r="F71" s="10"/>
      <c r="G71" s="9"/>
      <c r="H71" s="9"/>
      <c r="I71" s="9"/>
      <c r="J71" s="9"/>
      <c r="K71" s="9"/>
    </row>
    <row r="72" spans="1:11" x14ac:dyDescent="0.3">
      <c r="A72" s="13">
        <v>450</v>
      </c>
      <c r="B72" s="9"/>
      <c r="C72" s="9"/>
      <c r="D72" s="9" t="s">
        <v>214</v>
      </c>
      <c r="E72" s="9"/>
      <c r="F72" s="9"/>
      <c r="G72" s="9"/>
      <c r="H72" s="9"/>
      <c r="I72" s="9"/>
      <c r="J72" s="9"/>
      <c r="K72" s="9"/>
    </row>
    <row r="73" spans="1:11" x14ac:dyDescent="0.3">
      <c r="A73" s="10" t="s">
        <v>215</v>
      </c>
      <c r="B73" s="10"/>
      <c r="C73" s="10"/>
      <c r="D73" s="10"/>
      <c r="E73" s="10"/>
      <c r="F73" s="10"/>
      <c r="G73" s="9"/>
      <c r="H73" s="9"/>
      <c r="I73" s="9"/>
      <c r="J73" s="9"/>
      <c r="K73" s="9"/>
    </row>
    <row r="74" spans="1:11" x14ac:dyDescent="0.3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3">
      <c r="A75" s="10" t="s">
        <v>216</v>
      </c>
      <c r="B75" s="10"/>
      <c r="C75" s="10"/>
      <c r="D75" s="10"/>
      <c r="E75" s="10"/>
      <c r="F75" s="10"/>
      <c r="G75" s="10"/>
      <c r="H75" s="9"/>
      <c r="I75" s="9"/>
      <c r="J75" s="9"/>
      <c r="K75" s="9"/>
    </row>
    <row r="76" spans="1:11" x14ac:dyDescent="0.3">
      <c r="A76" s="13" t="s">
        <v>114</v>
      </c>
      <c r="B76" s="15" t="s">
        <v>115</v>
      </c>
      <c r="C76" s="9"/>
      <c r="D76" s="9" t="s">
        <v>217</v>
      </c>
      <c r="E76" s="9"/>
      <c r="F76" s="9"/>
      <c r="G76" s="9"/>
      <c r="H76" s="9"/>
      <c r="I76" s="9"/>
      <c r="J76" s="9"/>
      <c r="K76" s="9"/>
    </row>
    <row r="77" spans="1:11" x14ac:dyDescent="0.3">
      <c r="A77" s="10" t="s">
        <v>189</v>
      </c>
      <c r="B77" s="10"/>
      <c r="C77" s="10"/>
      <c r="D77" s="10"/>
      <c r="E77" s="10"/>
      <c r="F77" s="9"/>
      <c r="G77" s="9"/>
      <c r="H77" s="9"/>
      <c r="I77" s="9"/>
      <c r="J77" s="9"/>
      <c r="K77" s="9"/>
    </row>
    <row r="78" spans="1:11" x14ac:dyDescent="0.3">
      <c r="A78" s="13" t="s">
        <v>111</v>
      </c>
      <c r="B78" s="9"/>
      <c r="C78" s="9"/>
      <c r="D78" s="9" t="s">
        <v>218</v>
      </c>
      <c r="E78" s="9"/>
      <c r="F78" s="9"/>
      <c r="G78" s="9"/>
      <c r="H78" s="9"/>
      <c r="I78" s="9"/>
      <c r="J78" s="9"/>
      <c r="K78" s="9"/>
    </row>
    <row r="79" spans="1:11" x14ac:dyDescent="0.3">
      <c r="A79" s="10" t="s">
        <v>190</v>
      </c>
      <c r="B79" s="10"/>
      <c r="C79" s="10"/>
      <c r="D79" s="10"/>
      <c r="E79" s="10"/>
      <c r="F79" s="10"/>
      <c r="G79" s="9"/>
      <c r="H79" s="9"/>
      <c r="I79" s="9"/>
      <c r="J79" s="9"/>
      <c r="K79" s="9"/>
    </row>
    <row r="80" spans="1:11" x14ac:dyDescent="0.3">
      <c r="A80" s="13">
        <v>450</v>
      </c>
      <c r="B80" s="9"/>
      <c r="C80" s="9"/>
      <c r="D80" s="9">
        <v>450</v>
      </c>
      <c r="E80" s="9"/>
      <c r="F80" s="9"/>
      <c r="G80" s="9"/>
      <c r="H80" s="9"/>
      <c r="I80" s="9"/>
      <c r="J80" s="9"/>
      <c r="K80" s="9"/>
    </row>
    <row r="81" spans="1:11" x14ac:dyDescent="0.3">
      <c r="A81" s="10" t="s">
        <v>191</v>
      </c>
      <c r="B81" s="10"/>
      <c r="C81" s="10"/>
      <c r="D81" s="10"/>
      <c r="E81" s="10"/>
      <c r="F81" s="10"/>
      <c r="G81" s="10"/>
      <c r="H81" s="9"/>
      <c r="I81" s="9"/>
      <c r="J81" s="9"/>
      <c r="K81" s="9"/>
    </row>
    <row r="82" spans="1:11" x14ac:dyDescent="0.3">
      <c r="A82" s="13" t="s">
        <v>113</v>
      </c>
      <c r="B82" s="9"/>
      <c r="C82" s="9"/>
      <c r="D82" s="9" t="s">
        <v>113</v>
      </c>
      <c r="E82" s="9"/>
      <c r="F82" s="9"/>
      <c r="G82" s="9"/>
      <c r="H82" s="9"/>
      <c r="I82" s="9"/>
      <c r="J82" s="9"/>
      <c r="K82" s="9"/>
    </row>
    <row r="83" spans="1:11" x14ac:dyDescent="0.3">
      <c r="A83" s="10" t="s">
        <v>192</v>
      </c>
      <c r="B83" s="10"/>
      <c r="C83" s="10"/>
      <c r="D83" s="10"/>
      <c r="E83" s="10"/>
      <c r="F83" s="10"/>
      <c r="G83" s="9"/>
      <c r="H83" s="9"/>
      <c r="I83" s="9"/>
      <c r="J83" s="9"/>
      <c r="K83" s="9"/>
    </row>
    <row r="84" spans="1:11" x14ac:dyDescent="0.3">
      <c r="A84" s="16">
        <v>0.39583333333333331</v>
      </c>
      <c r="B84" s="9"/>
      <c r="C84" s="9"/>
      <c r="D84" s="9">
        <v>0.39583333333333331</v>
      </c>
      <c r="E84" s="9"/>
      <c r="F84" s="9"/>
      <c r="G84" s="9"/>
      <c r="H84" s="9"/>
      <c r="I84" s="9"/>
      <c r="J84" s="9"/>
      <c r="K8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89E2-D209-4B2B-935C-3C17BFDC0453}">
  <dimension ref="A1:R73"/>
  <sheetViews>
    <sheetView topLeftCell="B1" workbookViewId="0">
      <selection activeCell="H40" sqref="H40"/>
    </sheetView>
  </sheetViews>
  <sheetFormatPr defaultRowHeight="14.4" x14ac:dyDescent="0.3"/>
  <cols>
    <col min="3" max="3" width="12.5546875" customWidth="1"/>
    <col min="9" max="9" width="13" customWidth="1"/>
    <col min="14" max="14" width="11.77734375" customWidth="1"/>
    <col min="17" max="17" width="13.21875" customWidth="1"/>
  </cols>
  <sheetData>
    <row r="1" spans="1:18" x14ac:dyDescent="0.3">
      <c r="A1" s="17" t="s">
        <v>219</v>
      </c>
      <c r="B1" s="17" t="s">
        <v>220</v>
      </c>
      <c r="C1" s="17" t="s">
        <v>221</v>
      </c>
      <c r="D1" s="17" t="s">
        <v>222</v>
      </c>
      <c r="E1" s="17" t="s">
        <v>223</v>
      </c>
      <c r="F1" s="17" t="s">
        <v>224</v>
      </c>
      <c r="G1" s="17" t="s">
        <v>225</v>
      </c>
      <c r="H1" s="17" t="s">
        <v>226</v>
      </c>
      <c r="I1" s="17" t="s">
        <v>227</v>
      </c>
      <c r="J1" s="17" t="s">
        <v>228</v>
      </c>
    </row>
    <row r="2" spans="1:18" ht="18" x14ac:dyDescent="0.3">
      <c r="A2" s="18">
        <v>1</v>
      </c>
      <c r="B2" s="18" t="s">
        <v>229</v>
      </c>
      <c r="C2" s="18" t="s">
        <v>230</v>
      </c>
      <c r="D2" s="18" t="s">
        <v>231</v>
      </c>
      <c r="E2" s="18" t="s">
        <v>232</v>
      </c>
      <c r="F2" s="18">
        <v>1</v>
      </c>
      <c r="G2" s="18" t="s">
        <v>114</v>
      </c>
      <c r="H2" s="18">
        <v>45000</v>
      </c>
      <c r="I2" s="19">
        <v>45444</v>
      </c>
      <c r="J2" s="18" t="s">
        <v>233</v>
      </c>
      <c r="N2" s="20" t="s">
        <v>274</v>
      </c>
    </row>
    <row r="3" spans="1:18" x14ac:dyDescent="0.3">
      <c r="A3" s="18">
        <v>2</v>
      </c>
      <c r="B3" s="18" t="s">
        <v>234</v>
      </c>
      <c r="C3" s="18" t="s">
        <v>235</v>
      </c>
      <c r="D3" s="18" t="s">
        <v>236</v>
      </c>
      <c r="E3" s="18" t="s">
        <v>237</v>
      </c>
      <c r="F3" s="18">
        <v>2</v>
      </c>
      <c r="G3" s="18" t="s">
        <v>115</v>
      </c>
      <c r="H3" s="18">
        <v>40000</v>
      </c>
      <c r="I3" s="19">
        <v>45082</v>
      </c>
      <c r="J3" s="18" t="s">
        <v>238</v>
      </c>
      <c r="N3" s="6"/>
    </row>
    <row r="4" spans="1:18" x14ac:dyDescent="0.3">
      <c r="A4" s="18">
        <v>3</v>
      </c>
      <c r="B4" s="18" t="s">
        <v>239</v>
      </c>
      <c r="C4" s="18" t="s">
        <v>24</v>
      </c>
      <c r="D4" s="18" t="s">
        <v>240</v>
      </c>
      <c r="E4" s="18" t="s">
        <v>241</v>
      </c>
      <c r="F4" s="18">
        <v>1</v>
      </c>
      <c r="G4" s="18" t="s">
        <v>120</v>
      </c>
      <c r="H4" s="18">
        <v>35000</v>
      </c>
      <c r="I4" s="19">
        <v>45453</v>
      </c>
      <c r="J4" s="18" t="s">
        <v>233</v>
      </c>
      <c r="N4" s="6" t="s">
        <v>275</v>
      </c>
    </row>
    <row r="5" spans="1:18" x14ac:dyDescent="0.3">
      <c r="A5" s="18">
        <v>4</v>
      </c>
      <c r="B5" s="18" t="s">
        <v>242</v>
      </c>
      <c r="C5" s="18" t="s">
        <v>123</v>
      </c>
      <c r="D5" s="18" t="s">
        <v>243</v>
      </c>
      <c r="E5" s="18" t="s">
        <v>232</v>
      </c>
      <c r="F5" s="18">
        <v>3</v>
      </c>
      <c r="G5" s="18" t="s">
        <v>114</v>
      </c>
      <c r="H5" s="18">
        <v>42000</v>
      </c>
      <c r="I5" s="19">
        <v>44724</v>
      </c>
      <c r="J5" s="18" t="s">
        <v>244</v>
      </c>
      <c r="N5" s="6">
        <v>12</v>
      </c>
      <c r="Q5" t="str">
        <f>VLOOKUP(N5,A1:J26,3,0)</f>
        <v>Ekta Kulkarni</v>
      </c>
    </row>
    <row r="6" spans="1:18" x14ac:dyDescent="0.3">
      <c r="A6" s="18">
        <v>5</v>
      </c>
      <c r="B6" s="18" t="s">
        <v>245</v>
      </c>
      <c r="C6" s="18" t="s">
        <v>141</v>
      </c>
      <c r="D6" s="18" t="s">
        <v>246</v>
      </c>
      <c r="E6" s="18" t="s">
        <v>247</v>
      </c>
      <c r="F6" s="18">
        <v>2</v>
      </c>
      <c r="G6" s="18" t="s">
        <v>248</v>
      </c>
      <c r="H6" s="18">
        <v>30000</v>
      </c>
      <c r="I6" s="19">
        <v>45092</v>
      </c>
      <c r="J6" s="18" t="s">
        <v>238</v>
      </c>
      <c r="N6" s="6" t="s">
        <v>276</v>
      </c>
    </row>
    <row r="7" spans="1:18" x14ac:dyDescent="0.3">
      <c r="A7" s="18">
        <v>6</v>
      </c>
      <c r="B7" s="18" t="s">
        <v>249</v>
      </c>
      <c r="C7" s="18" t="s">
        <v>138</v>
      </c>
      <c r="D7" s="18" t="s">
        <v>231</v>
      </c>
      <c r="E7" s="18" t="s">
        <v>232</v>
      </c>
      <c r="F7" s="18">
        <v>1</v>
      </c>
      <c r="G7" s="18" t="s">
        <v>250</v>
      </c>
      <c r="H7" s="18">
        <v>45000</v>
      </c>
      <c r="I7" s="19">
        <v>45461</v>
      </c>
      <c r="J7" s="18" t="s">
        <v>233</v>
      </c>
      <c r="N7" s="6">
        <v>5</v>
      </c>
      <c r="Q7" t="str">
        <f>VLOOKUP(N7,A1:J26,4,0)</f>
        <v>BCom</v>
      </c>
    </row>
    <row r="8" spans="1:18" x14ac:dyDescent="0.3">
      <c r="A8" s="18">
        <v>7</v>
      </c>
      <c r="B8" s="18" t="s">
        <v>251</v>
      </c>
      <c r="C8" s="18" t="s">
        <v>128</v>
      </c>
      <c r="D8" s="18" t="s">
        <v>236</v>
      </c>
      <c r="E8" s="18" t="s">
        <v>237</v>
      </c>
      <c r="F8" s="18">
        <v>3</v>
      </c>
      <c r="G8" s="18" t="s">
        <v>115</v>
      </c>
      <c r="H8" s="18">
        <v>40000</v>
      </c>
      <c r="I8" s="19">
        <v>44732</v>
      </c>
      <c r="J8" s="18" t="s">
        <v>238</v>
      </c>
      <c r="N8" s="6" t="s">
        <v>277</v>
      </c>
    </row>
    <row r="9" spans="1:18" x14ac:dyDescent="0.3">
      <c r="A9" s="18">
        <v>8</v>
      </c>
      <c r="B9" s="18" t="s">
        <v>252</v>
      </c>
      <c r="C9" s="18" t="s">
        <v>131</v>
      </c>
      <c r="D9" s="18" t="s">
        <v>240</v>
      </c>
      <c r="E9" s="18" t="s">
        <v>241</v>
      </c>
      <c r="F9" s="18">
        <v>2</v>
      </c>
      <c r="G9" s="18" t="s">
        <v>114</v>
      </c>
      <c r="H9" s="18">
        <v>35000</v>
      </c>
      <c r="I9" s="19">
        <v>45099</v>
      </c>
      <c r="J9" s="18" t="s">
        <v>233</v>
      </c>
      <c r="N9" s="6">
        <v>21</v>
      </c>
      <c r="Q9">
        <f>VLOOKUP(N9,A1:J26,8,0)</f>
        <v>45000</v>
      </c>
    </row>
    <row r="10" spans="1:18" x14ac:dyDescent="0.3">
      <c r="A10" s="18">
        <v>9</v>
      </c>
      <c r="B10" s="18" t="s">
        <v>253</v>
      </c>
      <c r="C10" s="18" t="s">
        <v>158</v>
      </c>
      <c r="D10" s="18" t="s">
        <v>243</v>
      </c>
      <c r="E10" s="18" t="s">
        <v>232</v>
      </c>
      <c r="F10" s="18">
        <v>1</v>
      </c>
      <c r="G10" s="18" t="s">
        <v>125</v>
      </c>
      <c r="H10" s="18">
        <v>42000</v>
      </c>
      <c r="I10" s="19">
        <v>45468</v>
      </c>
      <c r="J10" s="18" t="s">
        <v>238</v>
      </c>
      <c r="N10" s="6" t="s">
        <v>278</v>
      </c>
    </row>
    <row r="11" spans="1:18" x14ac:dyDescent="0.3">
      <c r="A11" s="18">
        <v>10</v>
      </c>
      <c r="B11" s="18" t="s">
        <v>254</v>
      </c>
      <c r="C11" s="18" t="s">
        <v>144</v>
      </c>
      <c r="D11" s="18" t="s">
        <v>246</v>
      </c>
      <c r="E11" s="18" t="s">
        <v>247</v>
      </c>
      <c r="F11" s="18">
        <v>3</v>
      </c>
      <c r="G11" s="18" t="s">
        <v>114</v>
      </c>
      <c r="H11" s="18">
        <v>30000</v>
      </c>
      <c r="I11" s="19">
        <v>44740</v>
      </c>
      <c r="J11" s="18" t="s">
        <v>244</v>
      </c>
      <c r="N11" s="6">
        <v>4</v>
      </c>
      <c r="Q11" t="str">
        <f>VLOOKUP(N11,A1:J26,10,0)</f>
        <v>C</v>
      </c>
    </row>
    <row r="12" spans="1:18" x14ac:dyDescent="0.3">
      <c r="A12" s="18">
        <v>11</v>
      </c>
      <c r="B12" s="18" t="s">
        <v>255</v>
      </c>
      <c r="C12" s="18" t="s">
        <v>160</v>
      </c>
      <c r="D12" s="18" t="s">
        <v>231</v>
      </c>
      <c r="E12" s="18" t="s">
        <v>232</v>
      </c>
      <c r="F12" s="18">
        <v>2</v>
      </c>
      <c r="G12" s="18" t="s">
        <v>115</v>
      </c>
      <c r="H12" s="18">
        <v>45000</v>
      </c>
      <c r="I12" s="19">
        <v>45109</v>
      </c>
      <c r="J12" s="18" t="s">
        <v>233</v>
      </c>
      <c r="N12" s="6" t="s">
        <v>279</v>
      </c>
    </row>
    <row r="13" spans="1:18" x14ac:dyDescent="0.3">
      <c r="A13" s="18">
        <v>12</v>
      </c>
      <c r="B13" s="18" t="s">
        <v>256</v>
      </c>
      <c r="C13" s="18" t="s">
        <v>162</v>
      </c>
      <c r="D13" s="18" t="s">
        <v>236</v>
      </c>
      <c r="E13" s="18" t="s">
        <v>237</v>
      </c>
      <c r="F13" s="18">
        <v>1</v>
      </c>
      <c r="G13" s="18" t="s">
        <v>114</v>
      </c>
      <c r="H13" s="18">
        <v>40000</v>
      </c>
      <c r="I13" s="19">
        <v>45477</v>
      </c>
      <c r="J13" s="18" t="s">
        <v>238</v>
      </c>
      <c r="N13" s="6">
        <v>18</v>
      </c>
      <c r="Q13" t="str">
        <f>VLOOKUP(N13,A1:J26,7,0)</f>
        <v>Pune</v>
      </c>
    </row>
    <row r="14" spans="1:18" x14ac:dyDescent="0.3">
      <c r="A14" s="18">
        <v>13</v>
      </c>
      <c r="B14" s="18" t="s">
        <v>257</v>
      </c>
      <c r="C14" s="18" t="s">
        <v>165</v>
      </c>
      <c r="D14" s="18" t="s">
        <v>240</v>
      </c>
      <c r="E14" s="18" t="s">
        <v>241</v>
      </c>
      <c r="F14" s="18">
        <v>3</v>
      </c>
      <c r="G14" s="18" t="s">
        <v>248</v>
      </c>
      <c r="H14" s="18">
        <v>35000</v>
      </c>
      <c r="I14" s="19">
        <v>44748</v>
      </c>
      <c r="J14" s="18" t="s">
        <v>233</v>
      </c>
      <c r="N14" s="6" t="s">
        <v>280</v>
      </c>
    </row>
    <row r="15" spans="1:18" x14ac:dyDescent="0.3">
      <c r="A15" s="18">
        <v>14</v>
      </c>
      <c r="B15" s="18" t="s">
        <v>258</v>
      </c>
      <c r="C15" s="18" t="s">
        <v>167</v>
      </c>
      <c r="D15" s="18" t="s">
        <v>243</v>
      </c>
      <c r="E15" s="18" t="s">
        <v>232</v>
      </c>
      <c r="F15" s="18">
        <v>2</v>
      </c>
      <c r="G15" s="18" t="s">
        <v>114</v>
      </c>
      <c r="H15" s="18">
        <v>42000</v>
      </c>
      <c r="I15" s="19">
        <v>45115</v>
      </c>
      <c r="J15" s="18" t="s">
        <v>238</v>
      </c>
      <c r="N15" s="6">
        <v>9</v>
      </c>
      <c r="Q15" t="str">
        <f>VLOOKUP(N15,A1:J26,5,1)</f>
        <v>IT</v>
      </c>
      <c r="R15">
        <f>VLOOKUP(N15,A1:J26,6,0)</f>
        <v>1</v>
      </c>
    </row>
    <row r="16" spans="1:18" x14ac:dyDescent="0.3">
      <c r="A16" s="18">
        <v>15</v>
      </c>
      <c r="B16" s="18" t="s">
        <v>259</v>
      </c>
      <c r="C16" s="18" t="s">
        <v>260</v>
      </c>
      <c r="D16" s="18" t="s">
        <v>246</v>
      </c>
      <c r="E16" s="18" t="s">
        <v>247</v>
      </c>
      <c r="F16" s="18">
        <v>1</v>
      </c>
      <c r="G16" s="18" t="s">
        <v>120</v>
      </c>
      <c r="H16" s="18">
        <v>30000</v>
      </c>
      <c r="I16" s="19">
        <v>45483</v>
      </c>
      <c r="J16" s="18" t="s">
        <v>233</v>
      </c>
      <c r="N16" s="6" t="s">
        <v>281</v>
      </c>
    </row>
    <row r="17" spans="1:18" x14ac:dyDescent="0.3">
      <c r="A17" s="18">
        <v>16</v>
      </c>
      <c r="B17" s="18" t="s">
        <v>261</v>
      </c>
      <c r="C17" s="18" t="s">
        <v>169</v>
      </c>
      <c r="D17" s="18" t="s">
        <v>231</v>
      </c>
      <c r="E17" s="18" t="s">
        <v>232</v>
      </c>
      <c r="F17" s="18">
        <v>3</v>
      </c>
      <c r="G17" s="18" t="s">
        <v>250</v>
      </c>
      <c r="H17" s="18">
        <v>45000</v>
      </c>
      <c r="I17" s="19">
        <v>44754</v>
      </c>
      <c r="J17" s="18" t="s">
        <v>244</v>
      </c>
      <c r="N17" s="6">
        <v>15</v>
      </c>
      <c r="Q17" s="2">
        <f>VLOOKUP(N17,A1:J26,9,0)</f>
        <v>45483</v>
      </c>
    </row>
    <row r="18" spans="1:18" x14ac:dyDescent="0.3">
      <c r="A18" s="18">
        <v>17</v>
      </c>
      <c r="B18" s="18" t="s">
        <v>262</v>
      </c>
      <c r="C18" s="18" t="s">
        <v>173</v>
      </c>
      <c r="D18" s="18" t="s">
        <v>236</v>
      </c>
      <c r="E18" s="18" t="s">
        <v>237</v>
      </c>
      <c r="F18" s="18">
        <v>2</v>
      </c>
      <c r="G18" s="18" t="s">
        <v>115</v>
      </c>
      <c r="H18" s="18">
        <v>40000</v>
      </c>
      <c r="I18" s="19">
        <v>45121</v>
      </c>
      <c r="J18" s="18" t="s">
        <v>238</v>
      </c>
      <c r="N18" s="6" t="s">
        <v>282</v>
      </c>
    </row>
    <row r="19" spans="1:18" x14ac:dyDescent="0.3">
      <c r="A19" s="18">
        <v>18</v>
      </c>
      <c r="B19" s="18" t="s">
        <v>263</v>
      </c>
      <c r="C19" s="18" t="s">
        <v>183</v>
      </c>
      <c r="D19" s="18" t="s">
        <v>240</v>
      </c>
      <c r="E19" s="18" t="s">
        <v>241</v>
      </c>
      <c r="F19" s="18">
        <v>1</v>
      </c>
      <c r="G19" s="18" t="s">
        <v>114</v>
      </c>
      <c r="H19" s="18">
        <v>35000</v>
      </c>
      <c r="I19" s="19">
        <v>45489</v>
      </c>
      <c r="J19" s="18" t="s">
        <v>233</v>
      </c>
      <c r="N19" s="6">
        <v>23</v>
      </c>
      <c r="Q19" t="str">
        <f>VLOOKUP(N19,A1:J26,4,0)</f>
        <v>BBA</v>
      </c>
      <c r="R19">
        <f>VLOOKUP(N19,A1:J26,8,0)</f>
        <v>35000</v>
      </c>
    </row>
    <row r="20" spans="1:18" x14ac:dyDescent="0.3">
      <c r="A20" s="18">
        <v>19</v>
      </c>
      <c r="B20" s="18" t="s">
        <v>264</v>
      </c>
      <c r="C20" s="18" t="s">
        <v>178</v>
      </c>
      <c r="D20" s="18" t="s">
        <v>243</v>
      </c>
      <c r="E20" s="18" t="s">
        <v>232</v>
      </c>
      <c r="F20" s="18">
        <v>2</v>
      </c>
      <c r="G20" s="18" t="s">
        <v>248</v>
      </c>
      <c r="H20" s="18">
        <v>42000</v>
      </c>
      <c r="I20" s="19">
        <v>45125</v>
      </c>
      <c r="J20" s="18" t="s">
        <v>238</v>
      </c>
      <c r="N20" s="6" t="s">
        <v>283</v>
      </c>
    </row>
    <row r="21" spans="1:18" x14ac:dyDescent="0.3">
      <c r="A21" s="18">
        <v>20</v>
      </c>
      <c r="B21" s="18" t="s">
        <v>265</v>
      </c>
      <c r="C21" s="18" t="s">
        <v>181</v>
      </c>
      <c r="D21" s="18" t="s">
        <v>246</v>
      </c>
      <c r="E21" s="18" t="s">
        <v>247</v>
      </c>
      <c r="F21" s="18">
        <v>3</v>
      </c>
      <c r="G21" s="18" t="s">
        <v>115</v>
      </c>
      <c r="H21" s="18">
        <v>30000</v>
      </c>
      <c r="I21" s="19">
        <v>44762</v>
      </c>
      <c r="J21" s="18" t="s">
        <v>244</v>
      </c>
      <c r="N21" s="6">
        <v>2</v>
      </c>
      <c r="Q21" t="str">
        <f>VLOOKUP(N21,A1:J26,3,0)</f>
        <v>Priya Sharma</v>
      </c>
      <c r="R21" t="str">
        <f>VLOOKUP(N21,A1:J26,10,0)</f>
        <v>B</v>
      </c>
    </row>
    <row r="22" spans="1:18" x14ac:dyDescent="0.3">
      <c r="A22" s="18">
        <v>21</v>
      </c>
      <c r="B22" s="18" t="s">
        <v>266</v>
      </c>
      <c r="C22" s="18" t="s">
        <v>186</v>
      </c>
      <c r="D22" s="18" t="s">
        <v>231</v>
      </c>
      <c r="E22" s="18" t="s">
        <v>232</v>
      </c>
      <c r="F22" s="18">
        <v>1</v>
      </c>
      <c r="G22" s="18" t="s">
        <v>114</v>
      </c>
      <c r="H22" s="18">
        <v>45000</v>
      </c>
      <c r="I22" s="19">
        <v>45495</v>
      </c>
      <c r="J22" s="18" t="s">
        <v>233</v>
      </c>
      <c r="N22" s="6" t="s">
        <v>284</v>
      </c>
    </row>
    <row r="23" spans="1:18" x14ac:dyDescent="0.3">
      <c r="A23" s="18">
        <v>22</v>
      </c>
      <c r="B23" s="18" t="s">
        <v>267</v>
      </c>
      <c r="C23" s="18" t="s">
        <v>268</v>
      </c>
      <c r="D23" s="18" t="s">
        <v>236</v>
      </c>
      <c r="E23" s="18" t="s">
        <v>237</v>
      </c>
      <c r="F23" s="18">
        <v>2</v>
      </c>
      <c r="G23" s="18" t="s">
        <v>125</v>
      </c>
      <c r="H23" s="18">
        <v>40000</v>
      </c>
      <c r="I23" s="19">
        <v>45131</v>
      </c>
      <c r="J23" s="18" t="s">
        <v>238</v>
      </c>
      <c r="N23">
        <v>16</v>
      </c>
      <c r="Q23" t="str">
        <f>VLOOKUP(N23,A1:J26,7,0)</f>
        <v>Hyderabad</v>
      </c>
      <c r="R23" t="str">
        <f>VLOOKUP(N23,A1:J26,4,0)</f>
        <v>BSc Data Science</v>
      </c>
    </row>
    <row r="24" spans="1:18" x14ac:dyDescent="0.3">
      <c r="A24" s="18">
        <v>23</v>
      </c>
      <c r="B24" s="18" t="s">
        <v>269</v>
      </c>
      <c r="C24" s="18" t="s">
        <v>176</v>
      </c>
      <c r="D24" s="18" t="s">
        <v>240</v>
      </c>
      <c r="E24" s="18" t="s">
        <v>241</v>
      </c>
      <c r="F24" s="18">
        <v>3</v>
      </c>
      <c r="G24" s="18" t="s">
        <v>115</v>
      </c>
      <c r="H24" s="18">
        <v>35000</v>
      </c>
      <c r="I24" s="19">
        <v>44768</v>
      </c>
      <c r="J24" s="18" t="s">
        <v>233</v>
      </c>
    </row>
    <row r="25" spans="1:18" x14ac:dyDescent="0.3">
      <c r="A25" s="18">
        <v>24</v>
      </c>
      <c r="B25" s="18" t="s">
        <v>270</v>
      </c>
      <c r="C25" s="18" t="s">
        <v>271</v>
      </c>
      <c r="D25" s="18" t="s">
        <v>243</v>
      </c>
      <c r="E25" s="18" t="s">
        <v>232</v>
      </c>
      <c r="F25" s="18">
        <v>1</v>
      </c>
      <c r="G25" s="18" t="s">
        <v>114</v>
      </c>
      <c r="H25" s="18">
        <v>42000</v>
      </c>
      <c r="I25" s="19">
        <v>45501</v>
      </c>
      <c r="J25" s="18" t="s">
        <v>238</v>
      </c>
    </row>
    <row r="26" spans="1:18" ht="18" x14ac:dyDescent="0.3">
      <c r="A26" s="18">
        <v>25</v>
      </c>
      <c r="B26" s="18" t="s">
        <v>272</v>
      </c>
      <c r="C26" s="18" t="s">
        <v>273</v>
      </c>
      <c r="D26" s="18" t="s">
        <v>246</v>
      </c>
      <c r="E26" s="18" t="s">
        <v>247</v>
      </c>
      <c r="F26" s="18">
        <v>2</v>
      </c>
      <c r="G26" s="18" t="s">
        <v>250</v>
      </c>
      <c r="H26" s="18">
        <v>30000</v>
      </c>
      <c r="I26" s="19">
        <v>45137</v>
      </c>
      <c r="J26" s="18" t="s">
        <v>233</v>
      </c>
      <c r="N26" s="20" t="s">
        <v>285</v>
      </c>
    </row>
    <row r="27" spans="1:18" x14ac:dyDescent="0.3">
      <c r="N27" s="6"/>
    </row>
    <row r="28" spans="1:18" x14ac:dyDescent="0.3">
      <c r="N28" s="6" t="s">
        <v>286</v>
      </c>
    </row>
    <row r="29" spans="1:18" x14ac:dyDescent="0.3">
      <c r="N29" t="s">
        <v>254</v>
      </c>
      <c r="Q29" t="str">
        <f>VLOOKUP(N29,B1:J26,2,0)</f>
        <v>Anjali Nair</v>
      </c>
    </row>
    <row r="30" spans="1:18" x14ac:dyDescent="0.3">
      <c r="N30" s="6" t="s">
        <v>287</v>
      </c>
    </row>
    <row r="31" spans="1:18" x14ac:dyDescent="0.3">
      <c r="N31" s="6" t="s">
        <v>262</v>
      </c>
      <c r="Q31" t="str">
        <f>VLOOKUP(N31,B1:J26,4,0)</f>
        <v>Computer</v>
      </c>
    </row>
    <row r="32" spans="1:18" x14ac:dyDescent="0.3">
      <c r="N32" s="6" t="s">
        <v>288</v>
      </c>
    </row>
    <row r="33" spans="3:18" x14ac:dyDescent="0.3">
      <c r="N33" s="6" t="s">
        <v>239</v>
      </c>
      <c r="Q33" t="str">
        <f>VLOOKUP(N33,B1:J26,6,0)</f>
        <v>Nashik</v>
      </c>
    </row>
    <row r="34" spans="3:18" x14ac:dyDescent="0.3">
      <c r="N34" s="6" t="s">
        <v>289</v>
      </c>
    </row>
    <row r="35" spans="3:18" x14ac:dyDescent="0.3">
      <c r="N35" s="6" t="s">
        <v>270</v>
      </c>
      <c r="Q35">
        <f>VLOOKUP(N35,B1:J26,5,0)</f>
        <v>1</v>
      </c>
      <c r="R35" t="str">
        <f>VLOOKUP(N35,B1:J26,9,0)</f>
        <v>B</v>
      </c>
    </row>
    <row r="36" spans="3:18" x14ac:dyDescent="0.3">
      <c r="N36" s="6" t="s">
        <v>290</v>
      </c>
    </row>
    <row r="37" spans="3:18" x14ac:dyDescent="0.3">
      <c r="N37" t="s">
        <v>266</v>
      </c>
      <c r="Q37">
        <f>VLOOKUP(N37,B1:J26,7,0)</f>
        <v>45000</v>
      </c>
    </row>
    <row r="40" spans="3:18" ht="18" x14ac:dyDescent="0.3">
      <c r="C40" s="18"/>
      <c r="D40" s="18"/>
      <c r="E40" s="18"/>
      <c r="F40" s="18"/>
      <c r="G40" s="18"/>
      <c r="N40" s="20" t="s">
        <v>291</v>
      </c>
    </row>
    <row r="41" spans="3:18" x14ac:dyDescent="0.3">
      <c r="N41" s="6"/>
    </row>
    <row r="42" spans="3:18" x14ac:dyDescent="0.3">
      <c r="N42" s="6" t="s">
        <v>292</v>
      </c>
    </row>
    <row r="43" spans="3:18" x14ac:dyDescent="0.3">
      <c r="N43" s="6">
        <v>45000</v>
      </c>
    </row>
    <row r="44" spans="3:18" x14ac:dyDescent="0.3">
      <c r="N44" s="6" t="s">
        <v>293</v>
      </c>
    </row>
    <row r="45" spans="3:18" x14ac:dyDescent="0.3">
      <c r="N45" s="6" t="s">
        <v>236</v>
      </c>
    </row>
    <row r="46" spans="3:18" x14ac:dyDescent="0.3">
      <c r="N46" s="6" t="s">
        <v>294</v>
      </c>
    </row>
    <row r="47" spans="3:18" x14ac:dyDescent="0.3">
      <c r="N47" s="6" t="s">
        <v>183</v>
      </c>
      <c r="Q47" t="str">
        <f>VLOOKUP(N47,C1:J26,5,0)</f>
        <v>Pune</v>
      </c>
    </row>
    <row r="48" spans="3:18" x14ac:dyDescent="0.3">
      <c r="N48" s="6" t="s">
        <v>295</v>
      </c>
    </row>
    <row r="49" spans="7:17" x14ac:dyDescent="0.3">
      <c r="N49" s="21">
        <v>45489</v>
      </c>
      <c r="Q49" t="e">
        <f>VLOOKUP(N49,C1:J26,1,0)</f>
        <v>#N/A</v>
      </c>
    </row>
    <row r="50" spans="7:17" x14ac:dyDescent="0.3">
      <c r="N50" s="6" t="s">
        <v>296</v>
      </c>
    </row>
    <row r="51" spans="7:17" x14ac:dyDescent="0.3">
      <c r="N51" t="s">
        <v>244</v>
      </c>
    </row>
    <row r="52" spans="7:17" ht="31.2" x14ac:dyDescent="0.3">
      <c r="N52" s="8" t="s">
        <v>187</v>
      </c>
    </row>
    <row r="53" spans="7:17" x14ac:dyDescent="0.3">
      <c r="N53" s="6"/>
    </row>
    <row r="54" spans="7:17" x14ac:dyDescent="0.3">
      <c r="N54" s="6" t="s">
        <v>297</v>
      </c>
    </row>
    <row r="55" spans="7:17" x14ac:dyDescent="0.3">
      <c r="N55" s="18" t="s">
        <v>230</v>
      </c>
      <c r="Q55" t="str">
        <f>UPPER(N55)</f>
        <v>RAHUL PATIL</v>
      </c>
    </row>
    <row r="56" spans="7:17" x14ac:dyDescent="0.3">
      <c r="N56" s="6" t="s">
        <v>298</v>
      </c>
    </row>
    <row r="57" spans="7:17" x14ac:dyDescent="0.3">
      <c r="N57" s="18" t="s">
        <v>231</v>
      </c>
      <c r="Q57" t="str">
        <f>LOWER(N57)</f>
        <v>bsc data science</v>
      </c>
    </row>
    <row r="58" spans="7:17" x14ac:dyDescent="0.3">
      <c r="N58" s="6" t="s">
        <v>299</v>
      </c>
    </row>
    <row r="59" spans="7:17" x14ac:dyDescent="0.3">
      <c r="N59" s="18" t="s">
        <v>181</v>
      </c>
      <c r="Q59" t="str">
        <f>TRIM(N59)</f>
        <v>Sachin Lokhande</v>
      </c>
    </row>
    <row r="60" spans="7:17" x14ac:dyDescent="0.3">
      <c r="N60" s="6" t="s">
        <v>300</v>
      </c>
    </row>
    <row r="61" spans="7:17" x14ac:dyDescent="0.3">
      <c r="G61" s="6" t="s">
        <v>300</v>
      </c>
      <c r="N61" s="18">
        <v>45000</v>
      </c>
      <c r="Q61" t="str">
        <f>TEXT(N61,"$#,##0.00")</f>
        <v>$45,000.00</v>
      </c>
    </row>
    <row r="62" spans="7:17" x14ac:dyDescent="0.3">
      <c r="N62" s="6" t="s">
        <v>301</v>
      </c>
    </row>
    <row r="63" spans="7:17" x14ac:dyDescent="0.3">
      <c r="N63" s="19">
        <v>45444</v>
      </c>
      <c r="Q63" t="str">
        <f>TEXT(N63,"MMM")</f>
        <v>Jun</v>
      </c>
    </row>
    <row r="64" spans="7:17" x14ac:dyDescent="0.3">
      <c r="N64" s="6" t="s">
        <v>302</v>
      </c>
    </row>
    <row r="65" spans="7:17" x14ac:dyDescent="0.3">
      <c r="N65" s="18" t="s">
        <v>128</v>
      </c>
      <c r="O65" s="18" t="s">
        <v>115</v>
      </c>
      <c r="Q65" t="str">
        <f>UPPER(_xlfn.CONCAT(N65," ",O65))</f>
        <v>ARJUN KHAN MUMBAI</v>
      </c>
    </row>
    <row r="66" spans="7:17" x14ac:dyDescent="0.3">
      <c r="G66" s="6" t="s">
        <v>306</v>
      </c>
      <c r="N66" s="6" t="s">
        <v>303</v>
      </c>
    </row>
    <row r="67" spans="7:17" x14ac:dyDescent="0.3">
      <c r="N67" s="18" t="s">
        <v>245</v>
      </c>
      <c r="Q67" t="str">
        <f>LOWER(N67)</f>
        <v>st105</v>
      </c>
    </row>
    <row r="68" spans="7:17" x14ac:dyDescent="0.3">
      <c r="N68" s="6" t="s">
        <v>304</v>
      </c>
    </row>
    <row r="69" spans="7:17" x14ac:dyDescent="0.3">
      <c r="N69" s="19">
        <v>45489</v>
      </c>
      <c r="Q69" t="str">
        <f>TEXT(N69,"DD-MMM-YYYY")</f>
        <v>16-Jul-2024</v>
      </c>
    </row>
    <row r="70" spans="7:17" x14ac:dyDescent="0.3">
      <c r="G70" t="s">
        <v>307</v>
      </c>
      <c r="N70" s="6" t="s">
        <v>305</v>
      </c>
    </row>
    <row r="71" spans="7:17" x14ac:dyDescent="0.3">
      <c r="N71" s="18" t="s">
        <v>231</v>
      </c>
      <c r="Q71" t="str">
        <f>PROPER(N71)</f>
        <v>Bsc Data Science</v>
      </c>
    </row>
    <row r="72" spans="7:17" x14ac:dyDescent="0.3">
      <c r="N72" s="6" t="s">
        <v>306</v>
      </c>
    </row>
    <row r="73" spans="7:17" x14ac:dyDescent="0.3">
      <c r="N73" s="18">
        <v>40000</v>
      </c>
      <c r="Q73" t="str">
        <f>TEXT(N73,"₹###.00")</f>
        <v>₹40000.00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594C-32F8-4FAF-AA08-4EF7208A3B24}">
  <dimension ref="A1:O86"/>
  <sheetViews>
    <sheetView workbookViewId="0">
      <selection activeCell="I13" sqref="I1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5546875" bestFit="1" customWidth="1"/>
    <col min="4" max="4" width="6.88671875" bestFit="1" customWidth="1"/>
    <col min="5" max="5" width="4" bestFit="1" customWidth="1"/>
    <col min="6" max="6" width="10.88671875" bestFit="1" customWidth="1"/>
    <col min="7" max="7" width="10.5546875" bestFit="1" customWidth="1"/>
    <col min="8" max="8" width="7" bestFit="1" customWidth="1"/>
    <col min="9" max="9" width="10.33203125" bestFit="1" customWidth="1"/>
    <col min="10" max="10" width="30.5546875" bestFit="1" customWidth="1"/>
    <col min="11" max="11" width="9.77734375" bestFit="1" customWidth="1"/>
    <col min="12" max="12" width="14.44140625" bestFit="1" customWidth="1"/>
    <col min="13" max="13" width="15.33203125" bestFit="1" customWidth="1"/>
    <col min="14" max="14" width="16.77734375" bestFit="1" customWidth="1"/>
    <col min="15" max="15" width="8.5546875" bestFit="1" customWidth="1"/>
  </cols>
  <sheetData>
    <row r="1" spans="1:15" x14ac:dyDescent="0.3">
      <c r="A1" s="43" t="s">
        <v>411</v>
      </c>
      <c r="B1" s="43" t="s">
        <v>410</v>
      </c>
      <c r="C1" s="43" t="s">
        <v>409</v>
      </c>
      <c r="D1" s="43" t="s">
        <v>408</v>
      </c>
      <c r="E1" s="43" t="s">
        <v>407</v>
      </c>
      <c r="F1" s="43" t="s">
        <v>406</v>
      </c>
      <c r="G1" s="43" t="s">
        <v>405</v>
      </c>
      <c r="H1" s="43" t="s">
        <v>404</v>
      </c>
      <c r="I1" s="43" t="s">
        <v>403</v>
      </c>
      <c r="J1" s="43" t="s">
        <v>402</v>
      </c>
      <c r="K1" s="43" t="s">
        <v>225</v>
      </c>
      <c r="L1" s="43" t="s">
        <v>401</v>
      </c>
      <c r="M1" s="43" t="s">
        <v>400</v>
      </c>
      <c r="N1" s="43" t="s">
        <v>399</v>
      </c>
      <c r="O1" s="43" t="s">
        <v>11</v>
      </c>
    </row>
    <row r="2" spans="1:15" x14ac:dyDescent="0.3">
      <c r="A2" s="44">
        <v>1</v>
      </c>
      <c r="B2" s="44" t="s">
        <v>371</v>
      </c>
      <c r="C2" s="44" t="s">
        <v>314</v>
      </c>
      <c r="D2" s="44" t="s">
        <v>313</v>
      </c>
      <c r="E2" s="44">
        <v>48</v>
      </c>
      <c r="F2" s="44" t="s">
        <v>335</v>
      </c>
      <c r="G2" s="44" t="s">
        <v>323</v>
      </c>
      <c r="H2" s="44">
        <v>144872</v>
      </c>
      <c r="I2" s="45">
        <v>44655</v>
      </c>
      <c r="J2" s="44" t="s">
        <v>398</v>
      </c>
      <c r="K2" s="44" t="s">
        <v>114</v>
      </c>
      <c r="L2" s="44">
        <v>1</v>
      </c>
      <c r="M2" s="44" t="s">
        <v>309</v>
      </c>
      <c r="N2" s="44">
        <v>6</v>
      </c>
      <c r="O2" s="44" t="s">
        <v>308</v>
      </c>
    </row>
    <row r="3" spans="1:15" x14ac:dyDescent="0.3">
      <c r="A3" s="44">
        <v>2</v>
      </c>
      <c r="B3" s="44" t="s">
        <v>315</v>
      </c>
      <c r="C3" s="44" t="s">
        <v>339</v>
      </c>
      <c r="D3" s="44" t="s">
        <v>313</v>
      </c>
      <c r="E3" s="44">
        <v>34</v>
      </c>
      <c r="F3" s="44" t="s">
        <v>312</v>
      </c>
      <c r="G3" s="44" t="s">
        <v>360</v>
      </c>
      <c r="H3" s="44">
        <v>91921</v>
      </c>
      <c r="I3" s="45">
        <v>42722</v>
      </c>
      <c r="J3" s="44" t="s">
        <v>397</v>
      </c>
      <c r="K3" s="44" t="s">
        <v>367</v>
      </c>
      <c r="L3" s="44">
        <v>8</v>
      </c>
      <c r="M3" s="44" t="s">
        <v>316</v>
      </c>
      <c r="N3" s="44">
        <v>8</v>
      </c>
      <c r="O3" s="44" t="s">
        <v>321</v>
      </c>
    </row>
    <row r="4" spans="1:15" x14ac:dyDescent="0.3">
      <c r="A4" s="44">
        <v>3</v>
      </c>
      <c r="B4" s="44" t="s">
        <v>340</v>
      </c>
      <c r="C4" s="44" t="s">
        <v>314</v>
      </c>
      <c r="D4" s="44" t="s">
        <v>313</v>
      </c>
      <c r="E4" s="44">
        <v>34</v>
      </c>
      <c r="F4" s="44" t="s">
        <v>312</v>
      </c>
      <c r="G4" s="44" t="s">
        <v>323</v>
      </c>
      <c r="H4" s="44">
        <v>56519</v>
      </c>
      <c r="I4" s="45">
        <v>45338</v>
      </c>
      <c r="J4" s="44" t="s">
        <v>396</v>
      </c>
      <c r="K4" s="44" t="s">
        <v>250</v>
      </c>
      <c r="L4" s="44">
        <v>5</v>
      </c>
      <c r="M4" s="44" t="s">
        <v>309</v>
      </c>
      <c r="N4" s="44">
        <v>5</v>
      </c>
      <c r="O4" s="44" t="s">
        <v>341</v>
      </c>
    </row>
    <row r="5" spans="1:15" x14ac:dyDescent="0.3">
      <c r="A5" s="44">
        <v>4</v>
      </c>
      <c r="B5" s="44" t="s">
        <v>371</v>
      </c>
      <c r="C5" s="44" t="s">
        <v>333</v>
      </c>
      <c r="D5" s="44" t="s">
        <v>313</v>
      </c>
      <c r="E5" s="44">
        <v>44</v>
      </c>
      <c r="F5" s="44" t="s">
        <v>312</v>
      </c>
      <c r="G5" s="44" t="s">
        <v>318</v>
      </c>
      <c r="H5" s="44">
        <v>31171</v>
      </c>
      <c r="I5" s="45">
        <v>44542</v>
      </c>
      <c r="J5" s="44" t="s">
        <v>395</v>
      </c>
      <c r="K5" s="44" t="s">
        <v>367</v>
      </c>
      <c r="L5" s="44">
        <v>16</v>
      </c>
      <c r="M5" s="44" t="s">
        <v>331</v>
      </c>
      <c r="N5" s="44">
        <v>7</v>
      </c>
      <c r="O5" s="44" t="s">
        <v>321</v>
      </c>
    </row>
    <row r="6" spans="1:15" x14ac:dyDescent="0.3">
      <c r="A6" s="44">
        <v>5</v>
      </c>
      <c r="B6" s="44" t="s">
        <v>326</v>
      </c>
      <c r="C6" s="44" t="s">
        <v>325</v>
      </c>
      <c r="D6" s="44" t="s">
        <v>313</v>
      </c>
      <c r="E6" s="44">
        <v>21</v>
      </c>
      <c r="F6" s="44" t="s">
        <v>232</v>
      </c>
      <c r="G6" s="44" t="s">
        <v>323</v>
      </c>
      <c r="H6" s="44">
        <v>57380</v>
      </c>
      <c r="I6" s="45">
        <v>45144</v>
      </c>
      <c r="J6" s="44" t="s">
        <v>394</v>
      </c>
      <c r="K6" s="44" t="s">
        <v>342</v>
      </c>
      <c r="L6" s="44">
        <v>12</v>
      </c>
      <c r="M6" s="44" t="s">
        <v>331</v>
      </c>
      <c r="N6" s="44">
        <v>3</v>
      </c>
      <c r="O6" s="44" t="s">
        <v>321</v>
      </c>
    </row>
    <row r="7" spans="1:15" x14ac:dyDescent="0.3">
      <c r="A7" s="44">
        <v>6</v>
      </c>
      <c r="B7" s="44" t="s">
        <v>326</v>
      </c>
      <c r="C7" s="44" t="s">
        <v>333</v>
      </c>
      <c r="D7" s="44" t="s">
        <v>313</v>
      </c>
      <c r="E7" s="44">
        <v>31</v>
      </c>
      <c r="F7" s="44" t="s">
        <v>324</v>
      </c>
      <c r="G7" s="44" t="s">
        <v>328</v>
      </c>
      <c r="H7" s="44">
        <v>138009</v>
      </c>
      <c r="I7" s="45">
        <v>45923</v>
      </c>
      <c r="J7" s="44" t="s">
        <v>393</v>
      </c>
      <c r="K7" s="44" t="s">
        <v>250</v>
      </c>
      <c r="L7" s="44">
        <v>13</v>
      </c>
      <c r="M7" s="44" t="s">
        <v>316</v>
      </c>
      <c r="N7" s="44">
        <v>5</v>
      </c>
      <c r="O7" s="44" t="s">
        <v>341</v>
      </c>
    </row>
    <row r="8" spans="1:15" x14ac:dyDescent="0.3">
      <c r="A8" s="44">
        <v>7</v>
      </c>
      <c r="B8" s="44" t="s">
        <v>356</v>
      </c>
      <c r="C8" s="44" t="s">
        <v>333</v>
      </c>
      <c r="D8" s="44" t="s">
        <v>329</v>
      </c>
      <c r="E8" s="44">
        <v>48</v>
      </c>
      <c r="F8" s="44" t="s">
        <v>324</v>
      </c>
      <c r="G8" s="44" t="s">
        <v>360</v>
      </c>
      <c r="H8" s="44">
        <v>140782</v>
      </c>
      <c r="I8" s="45">
        <v>45670</v>
      </c>
      <c r="J8" s="44" t="s">
        <v>392</v>
      </c>
      <c r="K8" s="44" t="s">
        <v>250</v>
      </c>
      <c r="L8" s="44">
        <v>15</v>
      </c>
      <c r="M8" s="44" t="s">
        <v>331</v>
      </c>
      <c r="N8" s="44">
        <v>5</v>
      </c>
      <c r="O8" s="44" t="s">
        <v>341</v>
      </c>
    </row>
    <row r="9" spans="1:15" x14ac:dyDescent="0.3">
      <c r="A9" s="44">
        <v>8</v>
      </c>
      <c r="B9" s="44" t="s">
        <v>337</v>
      </c>
      <c r="C9" s="44" t="s">
        <v>344</v>
      </c>
      <c r="D9" s="44" t="s">
        <v>313</v>
      </c>
      <c r="E9" s="44">
        <v>30</v>
      </c>
      <c r="F9" s="44" t="s">
        <v>312</v>
      </c>
      <c r="G9" s="44" t="s">
        <v>318</v>
      </c>
      <c r="H9" s="44">
        <v>25883</v>
      </c>
      <c r="I9" s="45">
        <v>45861</v>
      </c>
      <c r="J9" s="44" t="s">
        <v>391</v>
      </c>
      <c r="K9" s="44" t="s">
        <v>115</v>
      </c>
      <c r="L9" s="44">
        <v>3</v>
      </c>
      <c r="M9" s="44" t="s">
        <v>331</v>
      </c>
      <c r="N9" s="44">
        <v>2</v>
      </c>
      <c r="O9" s="44" t="s">
        <v>308</v>
      </c>
    </row>
    <row r="10" spans="1:15" x14ac:dyDescent="0.3">
      <c r="A10" s="44">
        <v>9</v>
      </c>
      <c r="B10" s="44" t="s">
        <v>371</v>
      </c>
      <c r="C10" s="44" t="s">
        <v>355</v>
      </c>
      <c r="D10" s="44" t="s">
        <v>313</v>
      </c>
      <c r="E10" s="44">
        <v>34</v>
      </c>
      <c r="F10" s="44" t="s">
        <v>312</v>
      </c>
      <c r="G10" s="44" t="s">
        <v>323</v>
      </c>
      <c r="H10" s="44">
        <v>81932</v>
      </c>
      <c r="I10" s="45">
        <v>42613</v>
      </c>
      <c r="J10" s="44" t="s">
        <v>390</v>
      </c>
      <c r="K10" s="44" t="s">
        <v>114</v>
      </c>
      <c r="L10" s="44">
        <v>17</v>
      </c>
      <c r="M10" s="44" t="s">
        <v>309</v>
      </c>
      <c r="N10" s="44">
        <v>9</v>
      </c>
      <c r="O10" s="44" t="s">
        <v>321</v>
      </c>
    </row>
    <row r="11" spans="1:15" x14ac:dyDescent="0.3">
      <c r="A11" s="44">
        <v>10</v>
      </c>
      <c r="B11" s="44" t="s">
        <v>326</v>
      </c>
      <c r="C11" s="44" t="s">
        <v>314</v>
      </c>
      <c r="D11" s="44" t="s">
        <v>329</v>
      </c>
      <c r="E11" s="44">
        <v>59</v>
      </c>
      <c r="F11" s="44" t="s">
        <v>312</v>
      </c>
      <c r="G11" s="44" t="s">
        <v>346</v>
      </c>
      <c r="H11" s="44">
        <v>139623</v>
      </c>
      <c r="I11" s="45">
        <v>42147</v>
      </c>
      <c r="J11" s="44" t="s">
        <v>389</v>
      </c>
      <c r="K11" s="44" t="s">
        <v>115</v>
      </c>
      <c r="L11" s="44">
        <v>7</v>
      </c>
      <c r="M11" s="44" t="s">
        <v>331</v>
      </c>
      <c r="N11" s="44">
        <v>7</v>
      </c>
      <c r="O11" s="44" t="s">
        <v>308</v>
      </c>
    </row>
    <row r="12" spans="1:15" x14ac:dyDescent="0.3">
      <c r="A12" s="44">
        <v>11</v>
      </c>
      <c r="B12" s="44" t="s">
        <v>371</v>
      </c>
      <c r="C12" s="44" t="s">
        <v>336</v>
      </c>
      <c r="D12" s="44" t="s">
        <v>329</v>
      </c>
      <c r="E12" s="44">
        <v>54</v>
      </c>
      <c r="F12" s="44" t="s">
        <v>232</v>
      </c>
      <c r="G12" s="44" t="s">
        <v>328</v>
      </c>
      <c r="H12" s="44">
        <v>125616</v>
      </c>
      <c r="I12" s="45">
        <v>42768</v>
      </c>
      <c r="J12" s="44" t="s">
        <v>388</v>
      </c>
      <c r="K12" s="44" t="s">
        <v>367</v>
      </c>
      <c r="L12" s="44">
        <v>12</v>
      </c>
      <c r="M12" s="44" t="s">
        <v>309</v>
      </c>
      <c r="N12" s="44">
        <v>1</v>
      </c>
      <c r="O12" s="44" t="s">
        <v>341</v>
      </c>
    </row>
    <row r="13" spans="1:15" x14ac:dyDescent="0.3">
      <c r="A13" s="44">
        <v>12</v>
      </c>
      <c r="B13" s="44" t="s">
        <v>326</v>
      </c>
      <c r="C13" s="44" t="s">
        <v>314</v>
      </c>
      <c r="D13" s="44" t="s">
        <v>329</v>
      </c>
      <c r="E13" s="44">
        <v>34</v>
      </c>
      <c r="F13" s="44" t="s">
        <v>365</v>
      </c>
      <c r="G13" s="44" t="s">
        <v>318</v>
      </c>
      <c r="H13" s="44">
        <v>30476</v>
      </c>
      <c r="I13" s="45">
        <v>42264</v>
      </c>
      <c r="J13" s="44" t="s">
        <v>387</v>
      </c>
      <c r="K13" s="44" t="s">
        <v>114</v>
      </c>
      <c r="L13" s="44">
        <v>9</v>
      </c>
      <c r="M13" s="44" t="s">
        <v>309</v>
      </c>
      <c r="N13" s="44">
        <v>7</v>
      </c>
      <c r="O13" s="44" t="s">
        <v>321</v>
      </c>
    </row>
    <row r="14" spans="1:15" x14ac:dyDescent="0.3">
      <c r="A14" s="44">
        <v>13</v>
      </c>
      <c r="B14" s="44" t="s">
        <v>320</v>
      </c>
      <c r="C14" s="44" t="s">
        <v>330</v>
      </c>
      <c r="D14" s="44" t="s">
        <v>313</v>
      </c>
      <c r="E14" s="44">
        <v>27</v>
      </c>
      <c r="F14" s="44" t="s">
        <v>312</v>
      </c>
      <c r="G14" s="44" t="s">
        <v>360</v>
      </c>
      <c r="H14" s="44">
        <v>99089</v>
      </c>
      <c r="I14" s="45">
        <v>45753</v>
      </c>
      <c r="J14" s="44" t="s">
        <v>386</v>
      </c>
      <c r="K14" s="44" t="s">
        <v>367</v>
      </c>
      <c r="L14" s="44">
        <v>11</v>
      </c>
      <c r="M14" s="44" t="s">
        <v>331</v>
      </c>
      <c r="N14" s="44">
        <v>10</v>
      </c>
      <c r="O14" s="44" t="s">
        <v>308</v>
      </c>
    </row>
    <row r="15" spans="1:15" x14ac:dyDescent="0.3">
      <c r="A15" s="44">
        <v>14</v>
      </c>
      <c r="B15" s="44" t="s">
        <v>340</v>
      </c>
      <c r="C15" s="44" t="s">
        <v>355</v>
      </c>
      <c r="D15" s="44" t="s">
        <v>329</v>
      </c>
      <c r="E15" s="44">
        <v>44</v>
      </c>
      <c r="F15" s="44" t="s">
        <v>232</v>
      </c>
      <c r="G15" s="44" t="s">
        <v>346</v>
      </c>
      <c r="H15" s="44">
        <v>32289</v>
      </c>
      <c r="I15" s="45">
        <v>44335</v>
      </c>
      <c r="J15" s="44" t="s">
        <v>385</v>
      </c>
      <c r="K15" s="44" t="s">
        <v>342</v>
      </c>
      <c r="L15" s="44">
        <v>4</v>
      </c>
      <c r="M15" s="44" t="s">
        <v>309</v>
      </c>
      <c r="N15" s="44">
        <v>8</v>
      </c>
      <c r="O15" s="44" t="s">
        <v>321</v>
      </c>
    </row>
    <row r="16" spans="1:15" x14ac:dyDescent="0.3">
      <c r="A16" s="44">
        <v>15</v>
      </c>
      <c r="B16" s="44" t="s">
        <v>371</v>
      </c>
      <c r="C16" s="44" t="s">
        <v>325</v>
      </c>
      <c r="D16" s="44" t="s">
        <v>313</v>
      </c>
      <c r="E16" s="44">
        <v>49</v>
      </c>
      <c r="F16" s="44" t="s">
        <v>335</v>
      </c>
      <c r="G16" s="44" t="s">
        <v>311</v>
      </c>
      <c r="H16" s="44">
        <v>103018</v>
      </c>
      <c r="I16" s="45">
        <v>43985</v>
      </c>
      <c r="J16" s="44" t="s">
        <v>384</v>
      </c>
      <c r="K16" s="44" t="s">
        <v>114</v>
      </c>
      <c r="L16" s="44">
        <v>2</v>
      </c>
      <c r="M16" s="44" t="s">
        <v>309</v>
      </c>
      <c r="N16" s="44">
        <v>9</v>
      </c>
      <c r="O16" s="44" t="s">
        <v>341</v>
      </c>
    </row>
    <row r="17" spans="1:15" x14ac:dyDescent="0.3">
      <c r="A17" s="44">
        <v>16</v>
      </c>
      <c r="B17" s="44" t="s">
        <v>315</v>
      </c>
      <c r="C17" s="44" t="s">
        <v>319</v>
      </c>
      <c r="D17" s="44" t="s">
        <v>329</v>
      </c>
      <c r="E17" s="44">
        <v>43</v>
      </c>
      <c r="F17" s="44" t="s">
        <v>365</v>
      </c>
      <c r="G17" s="44" t="s">
        <v>318</v>
      </c>
      <c r="H17" s="44">
        <v>106329</v>
      </c>
      <c r="I17" s="45">
        <v>43779</v>
      </c>
      <c r="J17" s="44" t="s">
        <v>383</v>
      </c>
      <c r="K17" s="44" t="s">
        <v>342</v>
      </c>
      <c r="L17" s="44">
        <v>3</v>
      </c>
      <c r="M17" s="44" t="s">
        <v>309</v>
      </c>
      <c r="N17" s="44">
        <v>6</v>
      </c>
      <c r="O17" s="44" t="s">
        <v>341</v>
      </c>
    </row>
    <row r="18" spans="1:15" x14ac:dyDescent="0.3">
      <c r="A18" s="44">
        <v>17</v>
      </c>
      <c r="B18" s="44" t="s">
        <v>337</v>
      </c>
      <c r="C18" s="44" t="s">
        <v>350</v>
      </c>
      <c r="D18" s="44" t="s">
        <v>313</v>
      </c>
      <c r="E18" s="44">
        <v>59</v>
      </c>
      <c r="F18" s="44" t="s">
        <v>335</v>
      </c>
      <c r="G18" s="44" t="s">
        <v>318</v>
      </c>
      <c r="H18" s="44">
        <v>122738</v>
      </c>
      <c r="I18" s="45">
        <v>43779</v>
      </c>
      <c r="J18" s="44" t="s">
        <v>382</v>
      </c>
      <c r="K18" s="44" t="s">
        <v>367</v>
      </c>
      <c r="L18" s="44">
        <v>7</v>
      </c>
      <c r="M18" s="44" t="s">
        <v>331</v>
      </c>
      <c r="N18" s="44">
        <v>1</v>
      </c>
      <c r="O18" s="44" t="s">
        <v>321</v>
      </c>
    </row>
    <row r="19" spans="1:15" x14ac:dyDescent="0.3">
      <c r="A19" s="44">
        <v>18</v>
      </c>
      <c r="B19" s="44" t="s">
        <v>337</v>
      </c>
      <c r="C19" s="44" t="s">
        <v>336</v>
      </c>
      <c r="D19" s="44" t="s">
        <v>313</v>
      </c>
      <c r="E19" s="44">
        <v>60</v>
      </c>
      <c r="F19" s="44" t="s">
        <v>312</v>
      </c>
      <c r="G19" s="44" t="s">
        <v>323</v>
      </c>
      <c r="H19" s="44">
        <v>47558</v>
      </c>
      <c r="I19" s="45">
        <v>44482</v>
      </c>
      <c r="J19" s="44" t="s">
        <v>381</v>
      </c>
      <c r="K19" s="44" t="s">
        <v>115</v>
      </c>
      <c r="L19" s="44">
        <v>4</v>
      </c>
      <c r="M19" s="44" t="s">
        <v>309</v>
      </c>
      <c r="N19" s="44">
        <v>1</v>
      </c>
      <c r="O19" s="44" t="s">
        <v>308</v>
      </c>
    </row>
    <row r="20" spans="1:15" x14ac:dyDescent="0.3">
      <c r="A20" s="44">
        <v>19</v>
      </c>
      <c r="B20" s="44" t="s">
        <v>340</v>
      </c>
      <c r="C20" s="44" t="s">
        <v>333</v>
      </c>
      <c r="D20" s="44" t="s">
        <v>329</v>
      </c>
      <c r="E20" s="44">
        <v>45</v>
      </c>
      <c r="F20" s="44" t="s">
        <v>232</v>
      </c>
      <c r="G20" s="44" t="s">
        <v>328</v>
      </c>
      <c r="H20" s="44">
        <v>75790</v>
      </c>
      <c r="I20" s="45">
        <v>42963</v>
      </c>
      <c r="J20" s="44" t="s">
        <v>380</v>
      </c>
      <c r="K20" s="44" t="s">
        <v>250</v>
      </c>
      <c r="L20" s="44">
        <v>3</v>
      </c>
      <c r="M20" s="44" t="s">
        <v>316</v>
      </c>
      <c r="N20" s="44">
        <v>8</v>
      </c>
      <c r="O20" s="44" t="s">
        <v>308</v>
      </c>
    </row>
    <row r="21" spans="1:15" x14ac:dyDescent="0.3">
      <c r="A21" s="44">
        <v>20</v>
      </c>
      <c r="B21" s="44" t="s">
        <v>348</v>
      </c>
      <c r="C21" s="44" t="s">
        <v>344</v>
      </c>
      <c r="D21" s="44" t="s">
        <v>313</v>
      </c>
      <c r="E21" s="44">
        <v>50</v>
      </c>
      <c r="F21" s="44" t="s">
        <v>347</v>
      </c>
      <c r="G21" s="44" t="s">
        <v>346</v>
      </c>
      <c r="H21" s="44">
        <v>26994</v>
      </c>
      <c r="I21" s="45">
        <v>43322</v>
      </c>
      <c r="J21" s="44" t="s">
        <v>379</v>
      </c>
      <c r="K21" s="44" t="s">
        <v>250</v>
      </c>
      <c r="L21" s="44">
        <v>17</v>
      </c>
      <c r="M21" s="44" t="s">
        <v>331</v>
      </c>
      <c r="N21" s="44">
        <v>10</v>
      </c>
      <c r="O21" s="44" t="s">
        <v>308</v>
      </c>
    </row>
    <row r="22" spans="1:15" x14ac:dyDescent="0.3">
      <c r="A22" s="44">
        <v>21</v>
      </c>
      <c r="B22" s="44" t="s">
        <v>337</v>
      </c>
      <c r="C22" s="44" t="s">
        <v>314</v>
      </c>
      <c r="D22" s="44" t="s">
        <v>313</v>
      </c>
      <c r="E22" s="44">
        <v>41</v>
      </c>
      <c r="F22" s="44" t="s">
        <v>324</v>
      </c>
      <c r="G22" s="44" t="s">
        <v>360</v>
      </c>
      <c r="H22" s="44">
        <v>125880</v>
      </c>
      <c r="I22" s="45">
        <v>42940</v>
      </c>
      <c r="J22" s="44" t="s">
        <v>378</v>
      </c>
      <c r="K22" s="44" t="s">
        <v>367</v>
      </c>
      <c r="L22" s="44">
        <v>4</v>
      </c>
      <c r="M22" s="44" t="s">
        <v>316</v>
      </c>
      <c r="N22" s="44">
        <v>3</v>
      </c>
      <c r="O22" s="44" t="s">
        <v>321</v>
      </c>
    </row>
    <row r="23" spans="1:15" x14ac:dyDescent="0.3">
      <c r="A23" s="44">
        <v>22</v>
      </c>
      <c r="B23" s="44" t="s">
        <v>340</v>
      </c>
      <c r="C23" s="44" t="s">
        <v>355</v>
      </c>
      <c r="D23" s="44" t="s">
        <v>329</v>
      </c>
      <c r="E23" s="44">
        <v>34</v>
      </c>
      <c r="F23" s="44" t="s">
        <v>312</v>
      </c>
      <c r="G23" s="44" t="s">
        <v>360</v>
      </c>
      <c r="H23" s="44">
        <v>56372</v>
      </c>
      <c r="I23" s="45">
        <v>43326</v>
      </c>
      <c r="J23" s="44" t="s">
        <v>377</v>
      </c>
      <c r="K23" s="44" t="s">
        <v>115</v>
      </c>
      <c r="L23" s="44">
        <v>16</v>
      </c>
      <c r="M23" s="44" t="s">
        <v>316</v>
      </c>
      <c r="N23" s="44">
        <v>1</v>
      </c>
      <c r="O23" s="44" t="s">
        <v>321</v>
      </c>
    </row>
    <row r="24" spans="1:15" x14ac:dyDescent="0.3">
      <c r="A24" s="44">
        <v>23</v>
      </c>
      <c r="B24" s="44" t="s">
        <v>353</v>
      </c>
      <c r="C24" s="44" t="s">
        <v>336</v>
      </c>
      <c r="D24" s="44" t="s">
        <v>313</v>
      </c>
      <c r="E24" s="44">
        <v>36</v>
      </c>
      <c r="F24" s="44" t="s">
        <v>335</v>
      </c>
      <c r="G24" s="44" t="s">
        <v>318</v>
      </c>
      <c r="H24" s="44">
        <v>117435</v>
      </c>
      <c r="I24" s="45">
        <v>42235</v>
      </c>
      <c r="J24" s="44" t="s">
        <v>376</v>
      </c>
      <c r="K24" s="44" t="s">
        <v>114</v>
      </c>
      <c r="L24" s="44">
        <v>2</v>
      </c>
      <c r="M24" s="44" t="s">
        <v>331</v>
      </c>
      <c r="N24" s="44">
        <v>6</v>
      </c>
      <c r="O24" s="44" t="s">
        <v>308</v>
      </c>
    </row>
    <row r="25" spans="1:15" x14ac:dyDescent="0.3">
      <c r="A25" s="44">
        <v>24</v>
      </c>
      <c r="B25" s="44" t="s">
        <v>351</v>
      </c>
      <c r="C25" s="44" t="s">
        <v>333</v>
      </c>
      <c r="D25" s="44" t="s">
        <v>313</v>
      </c>
      <c r="E25" s="44">
        <v>28</v>
      </c>
      <c r="F25" s="44" t="s">
        <v>347</v>
      </c>
      <c r="G25" s="44" t="s">
        <v>323</v>
      </c>
      <c r="H25" s="44">
        <v>138075</v>
      </c>
      <c r="I25" s="45">
        <v>43256</v>
      </c>
      <c r="J25" s="44" t="s">
        <v>375</v>
      </c>
      <c r="K25" s="44" t="s">
        <v>367</v>
      </c>
      <c r="L25" s="44">
        <v>2</v>
      </c>
      <c r="M25" s="44" t="s">
        <v>309</v>
      </c>
      <c r="N25" s="44">
        <v>5</v>
      </c>
      <c r="O25" s="44" t="s">
        <v>308</v>
      </c>
    </row>
    <row r="26" spans="1:15" x14ac:dyDescent="0.3">
      <c r="A26" s="44">
        <v>25</v>
      </c>
      <c r="B26" s="44" t="s">
        <v>326</v>
      </c>
      <c r="C26" s="44" t="s">
        <v>314</v>
      </c>
      <c r="D26" s="44" t="s">
        <v>313</v>
      </c>
      <c r="E26" s="44">
        <v>44</v>
      </c>
      <c r="F26" s="44" t="s">
        <v>232</v>
      </c>
      <c r="G26" s="44" t="s">
        <v>346</v>
      </c>
      <c r="H26" s="44">
        <v>26054</v>
      </c>
      <c r="I26" s="45">
        <v>43199</v>
      </c>
      <c r="J26" s="44" t="s">
        <v>374</v>
      </c>
      <c r="K26" s="44" t="s">
        <v>342</v>
      </c>
      <c r="L26" s="44">
        <v>4</v>
      </c>
      <c r="M26" s="44" t="s">
        <v>316</v>
      </c>
      <c r="N26" s="44">
        <v>6</v>
      </c>
      <c r="O26" s="44" t="s">
        <v>341</v>
      </c>
    </row>
    <row r="27" spans="1:15" x14ac:dyDescent="0.3">
      <c r="A27" s="44">
        <v>26</v>
      </c>
      <c r="B27" s="44" t="s">
        <v>351</v>
      </c>
      <c r="C27" s="44" t="s">
        <v>330</v>
      </c>
      <c r="D27" s="44" t="s">
        <v>329</v>
      </c>
      <c r="E27" s="44">
        <v>40</v>
      </c>
      <c r="F27" s="44" t="s">
        <v>347</v>
      </c>
      <c r="G27" s="44" t="s">
        <v>346</v>
      </c>
      <c r="H27" s="44">
        <v>59428</v>
      </c>
      <c r="I27" s="45">
        <v>44588</v>
      </c>
      <c r="J27" s="44" t="s">
        <v>373</v>
      </c>
      <c r="K27" s="44" t="s">
        <v>248</v>
      </c>
      <c r="L27" s="44">
        <v>14</v>
      </c>
      <c r="M27" s="44" t="s">
        <v>331</v>
      </c>
      <c r="N27" s="44">
        <v>8</v>
      </c>
      <c r="O27" s="44" t="s">
        <v>308</v>
      </c>
    </row>
    <row r="28" spans="1:15" x14ac:dyDescent="0.3">
      <c r="A28" s="44">
        <v>27</v>
      </c>
      <c r="B28" s="44" t="s">
        <v>337</v>
      </c>
      <c r="C28" s="44" t="s">
        <v>319</v>
      </c>
      <c r="D28" s="44" t="s">
        <v>329</v>
      </c>
      <c r="E28" s="44">
        <v>56</v>
      </c>
      <c r="F28" s="44" t="s">
        <v>347</v>
      </c>
      <c r="G28" s="44" t="s">
        <v>346</v>
      </c>
      <c r="H28" s="44">
        <v>73157</v>
      </c>
      <c r="I28" s="45">
        <v>45591</v>
      </c>
      <c r="J28" s="44" t="s">
        <v>372</v>
      </c>
      <c r="K28" s="44" t="s">
        <v>115</v>
      </c>
      <c r="L28" s="44">
        <v>6</v>
      </c>
      <c r="M28" s="44" t="s">
        <v>331</v>
      </c>
      <c r="N28" s="44">
        <v>4</v>
      </c>
      <c r="O28" s="44" t="s">
        <v>308</v>
      </c>
    </row>
    <row r="29" spans="1:15" x14ac:dyDescent="0.3">
      <c r="A29" s="44">
        <v>28</v>
      </c>
      <c r="B29" s="44" t="s">
        <v>371</v>
      </c>
      <c r="C29" s="44" t="s">
        <v>333</v>
      </c>
      <c r="D29" s="44" t="s">
        <v>313</v>
      </c>
      <c r="E29" s="44">
        <v>37</v>
      </c>
      <c r="F29" s="44" t="s">
        <v>232</v>
      </c>
      <c r="G29" s="44" t="s">
        <v>346</v>
      </c>
      <c r="H29" s="44">
        <v>28325</v>
      </c>
      <c r="I29" s="45">
        <v>44742</v>
      </c>
      <c r="J29" s="44" t="s">
        <v>370</v>
      </c>
      <c r="K29" s="44" t="s">
        <v>115</v>
      </c>
      <c r="L29" s="44">
        <v>9</v>
      </c>
      <c r="M29" s="44" t="s">
        <v>309</v>
      </c>
      <c r="N29" s="44">
        <v>5</v>
      </c>
      <c r="O29" s="44" t="s">
        <v>341</v>
      </c>
    </row>
    <row r="30" spans="1:15" x14ac:dyDescent="0.3">
      <c r="A30" s="44">
        <v>29</v>
      </c>
      <c r="B30" s="44" t="s">
        <v>348</v>
      </c>
      <c r="C30" s="44" t="s">
        <v>314</v>
      </c>
      <c r="D30" s="44" t="s">
        <v>313</v>
      </c>
      <c r="E30" s="44">
        <v>54</v>
      </c>
      <c r="F30" s="44" t="s">
        <v>335</v>
      </c>
      <c r="G30" s="44" t="s">
        <v>318</v>
      </c>
      <c r="H30" s="44">
        <v>124478</v>
      </c>
      <c r="I30" s="45">
        <v>44932</v>
      </c>
      <c r="J30" s="44" t="s">
        <v>369</v>
      </c>
      <c r="K30" s="44" t="s">
        <v>250</v>
      </c>
      <c r="L30" s="44">
        <v>15</v>
      </c>
      <c r="M30" s="44" t="s">
        <v>331</v>
      </c>
      <c r="N30" s="44">
        <v>4</v>
      </c>
      <c r="O30" s="44" t="s">
        <v>341</v>
      </c>
    </row>
    <row r="31" spans="1:15" x14ac:dyDescent="0.3">
      <c r="A31" s="44">
        <v>30</v>
      </c>
      <c r="B31" s="44" t="s">
        <v>356</v>
      </c>
      <c r="C31" s="44" t="s">
        <v>336</v>
      </c>
      <c r="D31" s="44" t="s">
        <v>329</v>
      </c>
      <c r="E31" s="44">
        <v>28</v>
      </c>
      <c r="F31" s="44" t="s">
        <v>335</v>
      </c>
      <c r="G31" s="44" t="s">
        <v>328</v>
      </c>
      <c r="H31" s="44">
        <v>144858</v>
      </c>
      <c r="I31" s="45">
        <v>45611</v>
      </c>
      <c r="J31" s="44" t="s">
        <v>368</v>
      </c>
      <c r="K31" s="44" t="s">
        <v>367</v>
      </c>
      <c r="L31" s="44">
        <v>20</v>
      </c>
      <c r="M31" s="44" t="s">
        <v>316</v>
      </c>
      <c r="N31" s="44">
        <v>7</v>
      </c>
      <c r="O31" s="44" t="s">
        <v>321</v>
      </c>
    </row>
    <row r="32" spans="1:15" x14ac:dyDescent="0.3">
      <c r="A32" s="44">
        <v>31</v>
      </c>
      <c r="B32" s="44" t="s">
        <v>320</v>
      </c>
      <c r="C32" s="44" t="s">
        <v>339</v>
      </c>
      <c r="D32" s="44" t="s">
        <v>329</v>
      </c>
      <c r="E32" s="44">
        <v>44</v>
      </c>
      <c r="F32" s="44" t="s">
        <v>324</v>
      </c>
      <c r="G32" s="44" t="s">
        <v>318</v>
      </c>
      <c r="H32" s="44">
        <v>99196</v>
      </c>
      <c r="I32" s="45">
        <v>45929</v>
      </c>
      <c r="J32" s="44" t="s">
        <v>366</v>
      </c>
      <c r="K32" s="44" t="s">
        <v>250</v>
      </c>
      <c r="L32" s="44">
        <v>1</v>
      </c>
      <c r="M32" s="44" t="s">
        <v>316</v>
      </c>
      <c r="N32" s="44">
        <v>6</v>
      </c>
      <c r="O32" s="44" t="s">
        <v>308</v>
      </c>
    </row>
    <row r="33" spans="1:15" x14ac:dyDescent="0.3">
      <c r="A33" s="44">
        <v>32</v>
      </c>
      <c r="B33" s="44" t="s">
        <v>337</v>
      </c>
      <c r="C33" s="44" t="s">
        <v>350</v>
      </c>
      <c r="D33" s="44" t="s">
        <v>313</v>
      </c>
      <c r="E33" s="44">
        <v>43</v>
      </c>
      <c r="F33" s="44" t="s">
        <v>365</v>
      </c>
      <c r="G33" s="44" t="s">
        <v>360</v>
      </c>
      <c r="H33" s="44">
        <v>80528</v>
      </c>
      <c r="I33" s="45">
        <v>45863</v>
      </c>
      <c r="J33" s="44" t="s">
        <v>364</v>
      </c>
      <c r="K33" s="44" t="s">
        <v>342</v>
      </c>
      <c r="L33" s="44">
        <v>16</v>
      </c>
      <c r="M33" s="44" t="s">
        <v>316</v>
      </c>
      <c r="N33" s="44">
        <v>4</v>
      </c>
      <c r="O33" s="44" t="s">
        <v>321</v>
      </c>
    </row>
    <row r="34" spans="1:15" x14ac:dyDescent="0.3">
      <c r="A34" s="44">
        <v>33</v>
      </c>
      <c r="B34" s="44" t="s">
        <v>348</v>
      </c>
      <c r="C34" s="44" t="s">
        <v>344</v>
      </c>
      <c r="D34" s="44" t="s">
        <v>313</v>
      </c>
      <c r="E34" s="44">
        <v>27</v>
      </c>
      <c r="F34" s="44" t="s">
        <v>335</v>
      </c>
      <c r="G34" s="44" t="s">
        <v>360</v>
      </c>
      <c r="H34" s="44">
        <v>48091</v>
      </c>
      <c r="I34" s="45">
        <v>45462</v>
      </c>
      <c r="J34" s="44" t="s">
        <v>363</v>
      </c>
      <c r="K34" s="44" t="s">
        <v>115</v>
      </c>
      <c r="L34" s="44">
        <v>13</v>
      </c>
      <c r="M34" s="44" t="s">
        <v>331</v>
      </c>
      <c r="N34" s="44">
        <v>9</v>
      </c>
      <c r="O34" s="44" t="s">
        <v>321</v>
      </c>
    </row>
    <row r="35" spans="1:15" x14ac:dyDescent="0.3">
      <c r="A35" s="44">
        <v>34</v>
      </c>
      <c r="B35" s="44" t="s">
        <v>320</v>
      </c>
      <c r="C35" s="44" t="s">
        <v>330</v>
      </c>
      <c r="D35" s="44" t="s">
        <v>313</v>
      </c>
      <c r="E35" s="44">
        <v>59</v>
      </c>
      <c r="F35" s="44" t="s">
        <v>347</v>
      </c>
      <c r="G35" s="44" t="s">
        <v>346</v>
      </c>
      <c r="H35" s="44">
        <v>44289</v>
      </c>
      <c r="I35" s="45">
        <v>43428</v>
      </c>
      <c r="J35" s="44" t="s">
        <v>362</v>
      </c>
      <c r="K35" s="44" t="s">
        <v>114</v>
      </c>
      <c r="L35" s="44">
        <v>14</v>
      </c>
      <c r="M35" s="44" t="s">
        <v>309</v>
      </c>
      <c r="N35" s="44">
        <v>3</v>
      </c>
      <c r="O35" s="44" t="s">
        <v>308</v>
      </c>
    </row>
    <row r="36" spans="1:15" x14ac:dyDescent="0.3">
      <c r="A36" s="44">
        <v>35</v>
      </c>
      <c r="B36" s="44" t="s">
        <v>356</v>
      </c>
      <c r="C36" s="44" t="s">
        <v>339</v>
      </c>
      <c r="D36" s="44" t="s">
        <v>329</v>
      </c>
      <c r="E36" s="44">
        <v>27</v>
      </c>
      <c r="F36" s="44" t="s">
        <v>312</v>
      </c>
      <c r="G36" s="44" t="s">
        <v>323</v>
      </c>
      <c r="H36" s="44">
        <v>56207</v>
      </c>
      <c r="I36" s="45">
        <v>44524</v>
      </c>
      <c r="J36" s="44" t="s">
        <v>361</v>
      </c>
      <c r="K36" s="44" t="s">
        <v>248</v>
      </c>
      <c r="L36" s="44">
        <v>13</v>
      </c>
      <c r="M36" s="44" t="s">
        <v>309</v>
      </c>
      <c r="N36" s="44">
        <v>6</v>
      </c>
      <c r="O36" s="44" t="s">
        <v>308</v>
      </c>
    </row>
    <row r="37" spans="1:15" x14ac:dyDescent="0.3">
      <c r="A37" s="44">
        <v>36</v>
      </c>
      <c r="B37" s="44" t="s">
        <v>340</v>
      </c>
      <c r="C37" s="44" t="s">
        <v>333</v>
      </c>
      <c r="D37" s="44" t="s">
        <v>329</v>
      </c>
      <c r="E37" s="44">
        <v>30</v>
      </c>
      <c r="F37" s="44" t="s">
        <v>347</v>
      </c>
      <c r="G37" s="44" t="s">
        <v>360</v>
      </c>
      <c r="H37" s="44">
        <v>122541</v>
      </c>
      <c r="I37" s="45">
        <v>45699</v>
      </c>
      <c r="J37" s="44" t="s">
        <v>359</v>
      </c>
      <c r="K37" s="44" t="s">
        <v>248</v>
      </c>
      <c r="L37" s="44">
        <v>1</v>
      </c>
      <c r="M37" s="44" t="s">
        <v>331</v>
      </c>
      <c r="N37" s="44">
        <v>9</v>
      </c>
      <c r="O37" s="44" t="s">
        <v>341</v>
      </c>
    </row>
    <row r="38" spans="1:15" x14ac:dyDescent="0.3">
      <c r="A38" s="44">
        <v>37</v>
      </c>
      <c r="B38" s="44" t="s">
        <v>356</v>
      </c>
      <c r="C38" s="44" t="s">
        <v>355</v>
      </c>
      <c r="D38" s="44" t="s">
        <v>329</v>
      </c>
      <c r="E38" s="44">
        <v>54</v>
      </c>
      <c r="F38" s="44" t="s">
        <v>232</v>
      </c>
      <c r="G38" s="44" t="s">
        <v>323</v>
      </c>
      <c r="H38" s="44">
        <v>66217</v>
      </c>
      <c r="I38" s="45">
        <v>42871</v>
      </c>
      <c r="J38" s="44" t="s">
        <v>358</v>
      </c>
      <c r="K38" s="44" t="s">
        <v>248</v>
      </c>
      <c r="L38" s="44">
        <v>17</v>
      </c>
      <c r="M38" s="44" t="s">
        <v>331</v>
      </c>
      <c r="N38" s="44">
        <v>4</v>
      </c>
      <c r="O38" s="44" t="s">
        <v>308</v>
      </c>
    </row>
    <row r="39" spans="1:15" x14ac:dyDescent="0.3">
      <c r="A39" s="44">
        <v>38</v>
      </c>
      <c r="B39" s="44" t="s">
        <v>353</v>
      </c>
      <c r="C39" s="44" t="s">
        <v>336</v>
      </c>
      <c r="D39" s="44" t="s">
        <v>313</v>
      </c>
      <c r="E39" s="44">
        <v>54</v>
      </c>
      <c r="F39" s="44" t="s">
        <v>232</v>
      </c>
      <c r="G39" s="44" t="s">
        <v>318</v>
      </c>
      <c r="H39" s="44">
        <v>140449</v>
      </c>
      <c r="I39" s="45">
        <v>44259</v>
      </c>
      <c r="J39" s="44" t="s">
        <v>357</v>
      </c>
      <c r="K39" s="44" t="s">
        <v>248</v>
      </c>
      <c r="L39" s="44">
        <v>12</v>
      </c>
      <c r="M39" s="44" t="s">
        <v>309</v>
      </c>
      <c r="N39" s="44">
        <v>5</v>
      </c>
      <c r="O39" s="44" t="s">
        <v>308</v>
      </c>
    </row>
    <row r="40" spans="1:15" x14ac:dyDescent="0.3">
      <c r="A40" s="44">
        <v>39</v>
      </c>
      <c r="B40" s="44" t="s">
        <v>356</v>
      </c>
      <c r="C40" s="44" t="s">
        <v>355</v>
      </c>
      <c r="D40" s="44" t="s">
        <v>313</v>
      </c>
      <c r="E40" s="44">
        <v>34</v>
      </c>
      <c r="F40" s="44" t="s">
        <v>324</v>
      </c>
      <c r="G40" s="44" t="s">
        <v>311</v>
      </c>
      <c r="H40" s="44">
        <v>117110</v>
      </c>
      <c r="I40" s="45">
        <v>45669</v>
      </c>
      <c r="J40" s="44" t="s">
        <v>354</v>
      </c>
      <c r="K40" s="44" t="s">
        <v>342</v>
      </c>
      <c r="L40" s="44">
        <v>20</v>
      </c>
      <c r="M40" s="44" t="s">
        <v>316</v>
      </c>
      <c r="N40" s="44">
        <v>8</v>
      </c>
      <c r="O40" s="44" t="s">
        <v>321</v>
      </c>
    </row>
    <row r="41" spans="1:15" x14ac:dyDescent="0.3">
      <c r="A41" s="44">
        <v>40</v>
      </c>
      <c r="B41" s="44" t="s">
        <v>353</v>
      </c>
      <c r="C41" s="44" t="s">
        <v>350</v>
      </c>
      <c r="D41" s="44" t="s">
        <v>313</v>
      </c>
      <c r="E41" s="44">
        <v>59</v>
      </c>
      <c r="F41" s="44" t="s">
        <v>232</v>
      </c>
      <c r="G41" s="44" t="s">
        <v>346</v>
      </c>
      <c r="H41" s="44">
        <v>115145</v>
      </c>
      <c r="I41" s="45">
        <v>43425</v>
      </c>
      <c r="J41" s="44" t="s">
        <v>352</v>
      </c>
      <c r="K41" s="44" t="s">
        <v>114</v>
      </c>
      <c r="L41" s="44">
        <v>8</v>
      </c>
      <c r="M41" s="44" t="s">
        <v>316</v>
      </c>
      <c r="N41" s="44">
        <v>3</v>
      </c>
      <c r="O41" s="44" t="s">
        <v>308</v>
      </c>
    </row>
    <row r="42" spans="1:15" x14ac:dyDescent="0.3">
      <c r="A42" s="44">
        <v>41</v>
      </c>
      <c r="B42" s="44" t="s">
        <v>351</v>
      </c>
      <c r="C42" s="44" t="s">
        <v>350</v>
      </c>
      <c r="D42" s="44" t="s">
        <v>329</v>
      </c>
      <c r="E42" s="44">
        <v>41</v>
      </c>
      <c r="F42" s="44" t="s">
        <v>312</v>
      </c>
      <c r="G42" s="44" t="s">
        <v>328</v>
      </c>
      <c r="H42" s="44">
        <v>28711</v>
      </c>
      <c r="I42" s="45">
        <v>45362</v>
      </c>
      <c r="J42" s="44" t="s">
        <v>349</v>
      </c>
      <c r="K42" s="44" t="s">
        <v>114</v>
      </c>
      <c r="L42" s="44">
        <v>9</v>
      </c>
      <c r="M42" s="44" t="s">
        <v>331</v>
      </c>
      <c r="N42" s="44">
        <v>3</v>
      </c>
      <c r="O42" s="44" t="s">
        <v>341</v>
      </c>
    </row>
    <row r="43" spans="1:15" x14ac:dyDescent="0.3">
      <c r="A43" s="44">
        <v>42</v>
      </c>
      <c r="B43" s="44" t="s">
        <v>348</v>
      </c>
      <c r="C43" s="44" t="s">
        <v>330</v>
      </c>
      <c r="D43" s="44" t="s">
        <v>329</v>
      </c>
      <c r="E43" s="44">
        <v>24</v>
      </c>
      <c r="F43" s="44" t="s">
        <v>347</v>
      </c>
      <c r="G43" s="44" t="s">
        <v>346</v>
      </c>
      <c r="H43" s="44">
        <v>42182</v>
      </c>
      <c r="I43" s="45">
        <v>45390</v>
      </c>
      <c r="J43" s="44" t="s">
        <v>345</v>
      </c>
      <c r="K43" s="44" t="s">
        <v>114</v>
      </c>
      <c r="L43" s="44">
        <v>8</v>
      </c>
      <c r="M43" s="44" t="s">
        <v>331</v>
      </c>
      <c r="N43" s="44">
        <v>9</v>
      </c>
      <c r="O43" s="44" t="s">
        <v>308</v>
      </c>
    </row>
    <row r="44" spans="1:15" x14ac:dyDescent="0.3">
      <c r="A44" s="44">
        <v>43</v>
      </c>
      <c r="B44" s="44" t="s">
        <v>337</v>
      </c>
      <c r="C44" s="44" t="s">
        <v>344</v>
      </c>
      <c r="D44" s="44" t="s">
        <v>313</v>
      </c>
      <c r="E44" s="44">
        <v>53</v>
      </c>
      <c r="F44" s="44" t="s">
        <v>324</v>
      </c>
      <c r="G44" s="44" t="s">
        <v>328</v>
      </c>
      <c r="H44" s="44">
        <v>87433</v>
      </c>
      <c r="I44" s="45">
        <v>44230</v>
      </c>
      <c r="J44" s="44" t="s">
        <v>343</v>
      </c>
      <c r="K44" s="44" t="s">
        <v>342</v>
      </c>
      <c r="L44" s="44">
        <v>13</v>
      </c>
      <c r="M44" s="44" t="s">
        <v>316</v>
      </c>
      <c r="N44" s="44">
        <v>1</v>
      </c>
      <c r="O44" s="44" t="s">
        <v>341</v>
      </c>
    </row>
    <row r="45" spans="1:15" x14ac:dyDescent="0.3">
      <c r="A45" s="44">
        <v>44</v>
      </c>
      <c r="B45" s="44" t="s">
        <v>340</v>
      </c>
      <c r="C45" s="44" t="s">
        <v>339</v>
      </c>
      <c r="D45" s="44" t="s">
        <v>313</v>
      </c>
      <c r="E45" s="44">
        <v>35</v>
      </c>
      <c r="F45" s="44" t="s">
        <v>324</v>
      </c>
      <c r="G45" s="44" t="s">
        <v>311</v>
      </c>
      <c r="H45" s="44">
        <v>25166</v>
      </c>
      <c r="I45" s="45">
        <v>45886</v>
      </c>
      <c r="J45" s="44" t="s">
        <v>338</v>
      </c>
      <c r="K45" s="44" t="s">
        <v>248</v>
      </c>
      <c r="L45" s="44">
        <v>10</v>
      </c>
      <c r="M45" s="44" t="s">
        <v>309</v>
      </c>
      <c r="N45" s="44">
        <v>10</v>
      </c>
      <c r="O45" s="44" t="s">
        <v>308</v>
      </c>
    </row>
    <row r="46" spans="1:15" x14ac:dyDescent="0.3">
      <c r="A46" s="44">
        <v>45</v>
      </c>
      <c r="B46" s="44" t="s">
        <v>337</v>
      </c>
      <c r="C46" s="44" t="s">
        <v>336</v>
      </c>
      <c r="D46" s="44" t="s">
        <v>329</v>
      </c>
      <c r="E46" s="44">
        <v>27</v>
      </c>
      <c r="F46" s="44" t="s">
        <v>335</v>
      </c>
      <c r="G46" s="44" t="s">
        <v>318</v>
      </c>
      <c r="H46" s="44">
        <v>36681</v>
      </c>
      <c r="I46" s="45">
        <v>45580</v>
      </c>
      <c r="J46" s="44" t="s">
        <v>334</v>
      </c>
      <c r="K46" s="44" t="s">
        <v>115</v>
      </c>
      <c r="L46" s="44">
        <v>5</v>
      </c>
      <c r="M46" s="44" t="s">
        <v>331</v>
      </c>
      <c r="N46" s="44">
        <v>3</v>
      </c>
      <c r="O46" s="44" t="s">
        <v>321</v>
      </c>
    </row>
    <row r="47" spans="1:15" x14ac:dyDescent="0.3">
      <c r="A47" s="44">
        <v>46</v>
      </c>
      <c r="B47" s="44" t="s">
        <v>326</v>
      </c>
      <c r="C47" s="44" t="s">
        <v>333</v>
      </c>
      <c r="D47" s="44" t="s">
        <v>329</v>
      </c>
      <c r="E47" s="44">
        <v>23</v>
      </c>
      <c r="F47" s="44" t="s">
        <v>232</v>
      </c>
      <c r="G47" s="44" t="s">
        <v>323</v>
      </c>
      <c r="H47" s="44">
        <v>51130</v>
      </c>
      <c r="I47" s="45">
        <v>42984</v>
      </c>
      <c r="J47" s="44" t="s">
        <v>332</v>
      </c>
      <c r="K47" s="44" t="s">
        <v>250</v>
      </c>
      <c r="L47" s="44">
        <v>8</v>
      </c>
      <c r="M47" s="44" t="s">
        <v>331</v>
      </c>
      <c r="N47" s="44">
        <v>8</v>
      </c>
      <c r="O47" s="44" t="s">
        <v>308</v>
      </c>
    </row>
    <row r="48" spans="1:15" x14ac:dyDescent="0.3">
      <c r="A48" s="44">
        <v>47</v>
      </c>
      <c r="B48" s="44" t="s">
        <v>315</v>
      </c>
      <c r="C48" s="44" t="s">
        <v>330</v>
      </c>
      <c r="D48" s="44" t="s">
        <v>329</v>
      </c>
      <c r="E48" s="44">
        <v>50</v>
      </c>
      <c r="F48" s="44" t="s">
        <v>312</v>
      </c>
      <c r="G48" s="44" t="s">
        <v>328</v>
      </c>
      <c r="H48" s="44">
        <v>97736</v>
      </c>
      <c r="I48" s="45">
        <v>45325</v>
      </c>
      <c r="J48" s="44" t="s">
        <v>327</v>
      </c>
      <c r="K48" s="44" t="s">
        <v>248</v>
      </c>
      <c r="L48" s="44">
        <v>15</v>
      </c>
      <c r="M48" s="44" t="s">
        <v>309</v>
      </c>
      <c r="N48" s="44">
        <v>1</v>
      </c>
      <c r="O48" s="44" t="s">
        <v>308</v>
      </c>
    </row>
    <row r="49" spans="1:15" x14ac:dyDescent="0.3">
      <c r="A49" s="44">
        <v>48</v>
      </c>
      <c r="B49" s="44" t="s">
        <v>326</v>
      </c>
      <c r="C49" s="44" t="s">
        <v>325</v>
      </c>
      <c r="D49" s="44" t="s">
        <v>313</v>
      </c>
      <c r="E49" s="44">
        <v>31</v>
      </c>
      <c r="F49" s="44" t="s">
        <v>324</v>
      </c>
      <c r="G49" s="44" t="s">
        <v>323</v>
      </c>
      <c r="H49" s="44">
        <v>109527</v>
      </c>
      <c r="I49" s="45">
        <v>43567</v>
      </c>
      <c r="J49" s="44" t="s">
        <v>322</v>
      </c>
      <c r="K49" s="44" t="s">
        <v>115</v>
      </c>
      <c r="L49" s="44">
        <v>13</v>
      </c>
      <c r="M49" s="44" t="s">
        <v>316</v>
      </c>
      <c r="N49" s="44">
        <v>4</v>
      </c>
      <c r="O49" s="44" t="s">
        <v>321</v>
      </c>
    </row>
    <row r="50" spans="1:15" x14ac:dyDescent="0.3">
      <c r="A50" s="44">
        <v>49</v>
      </c>
      <c r="B50" s="44" t="s">
        <v>320</v>
      </c>
      <c r="C50" s="44" t="s">
        <v>319</v>
      </c>
      <c r="D50" s="44" t="s">
        <v>313</v>
      </c>
      <c r="E50" s="44">
        <v>46</v>
      </c>
      <c r="F50" s="44" t="s">
        <v>312</v>
      </c>
      <c r="G50" s="44" t="s">
        <v>318</v>
      </c>
      <c r="H50" s="44">
        <v>107110</v>
      </c>
      <c r="I50" s="45">
        <v>45371</v>
      </c>
      <c r="J50" s="44" t="s">
        <v>317</v>
      </c>
      <c r="K50" s="44" t="s">
        <v>250</v>
      </c>
      <c r="L50" s="44">
        <v>4</v>
      </c>
      <c r="M50" s="44" t="s">
        <v>316</v>
      </c>
      <c r="N50" s="44">
        <v>4</v>
      </c>
      <c r="O50" s="44" t="s">
        <v>308</v>
      </c>
    </row>
    <row r="51" spans="1:15" x14ac:dyDescent="0.3">
      <c r="A51" s="44">
        <v>50</v>
      </c>
      <c r="B51" s="44" t="s">
        <v>315</v>
      </c>
      <c r="C51" s="44" t="s">
        <v>314</v>
      </c>
      <c r="D51" s="44" t="s">
        <v>313</v>
      </c>
      <c r="E51" s="44">
        <v>44</v>
      </c>
      <c r="F51" s="44" t="s">
        <v>312</v>
      </c>
      <c r="G51" s="44" t="s">
        <v>311</v>
      </c>
      <c r="H51" s="44">
        <v>146349</v>
      </c>
      <c r="I51" s="45">
        <v>45935</v>
      </c>
      <c r="J51" s="44" t="s">
        <v>310</v>
      </c>
      <c r="K51" s="44" t="s">
        <v>115</v>
      </c>
      <c r="L51" s="44">
        <v>15</v>
      </c>
      <c r="M51" s="44" t="s">
        <v>309</v>
      </c>
      <c r="N51" s="44">
        <v>10</v>
      </c>
      <c r="O51" s="44" t="s">
        <v>308</v>
      </c>
    </row>
    <row r="56" spans="1:15" ht="18" x14ac:dyDescent="0.3">
      <c r="A56" s="20" t="s">
        <v>427</v>
      </c>
    </row>
    <row r="57" spans="1:15" x14ac:dyDescent="0.3">
      <c r="A57" s="6"/>
    </row>
    <row r="58" spans="1:15" x14ac:dyDescent="0.3">
      <c r="A58" s="6" t="s">
        <v>426</v>
      </c>
    </row>
    <row r="59" spans="1:15" x14ac:dyDescent="0.3">
      <c r="A59" s="6"/>
    </row>
    <row r="60" spans="1:15" x14ac:dyDescent="0.3">
      <c r="A60" s="6" t="s">
        <v>425</v>
      </c>
    </row>
    <row r="61" spans="1:15" x14ac:dyDescent="0.3">
      <c r="A61" s="6"/>
    </row>
    <row r="62" spans="1:15" x14ac:dyDescent="0.3">
      <c r="A62" s="6" t="s">
        <v>424</v>
      </c>
    </row>
    <row r="63" spans="1:15" x14ac:dyDescent="0.3">
      <c r="A63" s="6"/>
    </row>
    <row r="64" spans="1:15" x14ac:dyDescent="0.3">
      <c r="A64" s="6" t="s">
        <v>423</v>
      </c>
    </row>
    <row r="65" spans="1:1" x14ac:dyDescent="0.3">
      <c r="A65" s="6"/>
    </row>
    <row r="66" spans="1:1" x14ac:dyDescent="0.3">
      <c r="A66" s="6" t="s">
        <v>422</v>
      </c>
    </row>
    <row r="67" spans="1:1" x14ac:dyDescent="0.3">
      <c r="A67" s="6"/>
    </row>
    <row r="68" spans="1:1" x14ac:dyDescent="0.3">
      <c r="A68" s="6" t="s">
        <v>421</v>
      </c>
    </row>
    <row r="69" spans="1:1" x14ac:dyDescent="0.3">
      <c r="A69" s="6"/>
    </row>
    <row r="70" spans="1:1" x14ac:dyDescent="0.3">
      <c r="A70" s="6" t="s">
        <v>420</v>
      </c>
    </row>
    <row r="71" spans="1:1" x14ac:dyDescent="0.3">
      <c r="A71" s="6"/>
    </row>
    <row r="72" spans="1:1" x14ac:dyDescent="0.3">
      <c r="A72" s="6" t="s">
        <v>419</v>
      </c>
    </row>
    <row r="73" spans="1:1" x14ac:dyDescent="0.3">
      <c r="A73" s="6"/>
    </row>
    <row r="74" spans="1:1" x14ac:dyDescent="0.3">
      <c r="A74" s="6" t="s">
        <v>418</v>
      </c>
    </row>
    <row r="75" spans="1:1" x14ac:dyDescent="0.3">
      <c r="A75" s="6"/>
    </row>
    <row r="76" spans="1:1" x14ac:dyDescent="0.3">
      <c r="A76" s="6" t="s">
        <v>417</v>
      </c>
    </row>
    <row r="78" spans="1:1" x14ac:dyDescent="0.3">
      <c r="A78" t="s">
        <v>416</v>
      </c>
    </row>
    <row r="80" spans="1:1" x14ac:dyDescent="0.3">
      <c r="A80" t="s">
        <v>415</v>
      </c>
    </row>
    <row r="82" spans="1:1" x14ac:dyDescent="0.3">
      <c r="A82" t="s">
        <v>414</v>
      </c>
    </row>
    <row r="84" spans="1:1" x14ac:dyDescent="0.3">
      <c r="A84" t="s">
        <v>413</v>
      </c>
    </row>
    <row r="86" spans="1:1" x14ac:dyDescent="0.3">
      <c r="A86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042F-8CF1-4554-B7EE-2D1191C94887}">
  <dimension ref="A1:T65"/>
  <sheetViews>
    <sheetView topLeftCell="A8" zoomScale="130" zoomScaleNormal="130" workbookViewId="0">
      <selection activeCell="D9" sqref="D9"/>
    </sheetView>
  </sheetViews>
  <sheetFormatPr defaultRowHeight="14.4" x14ac:dyDescent="0.3"/>
  <cols>
    <col min="1" max="1" width="6.6640625" customWidth="1"/>
    <col min="2" max="2" width="9.109375" customWidth="1"/>
    <col min="3" max="3" width="11.6640625" customWidth="1"/>
    <col min="4" max="4" width="9.77734375" customWidth="1"/>
    <col min="5" max="5" width="8.5546875" customWidth="1"/>
    <col min="6" max="6" width="6.21875" customWidth="1"/>
    <col min="7" max="7" width="9.109375" customWidth="1"/>
    <col min="8" max="8" width="6.44140625" customWidth="1"/>
    <col min="9" max="9" width="10.77734375" customWidth="1"/>
    <col min="10" max="10" width="8.44140625" customWidth="1"/>
  </cols>
  <sheetData>
    <row r="1" spans="1:20" x14ac:dyDescent="0.3">
      <c r="A1" s="32" t="s">
        <v>0</v>
      </c>
      <c r="B1" s="33" t="s">
        <v>461</v>
      </c>
      <c r="C1" s="33" t="s">
        <v>2</v>
      </c>
      <c r="D1" s="33" t="s">
        <v>3</v>
      </c>
      <c r="E1" s="33" t="s">
        <v>4</v>
      </c>
      <c r="F1" s="33" t="s">
        <v>9</v>
      </c>
      <c r="G1" s="33" t="s">
        <v>460</v>
      </c>
      <c r="H1" s="33" t="s">
        <v>5</v>
      </c>
      <c r="I1" s="33" t="s">
        <v>459</v>
      </c>
      <c r="J1" s="34" t="s">
        <v>8</v>
      </c>
    </row>
    <row r="2" spans="1:20" x14ac:dyDescent="0.3">
      <c r="A2" s="35">
        <v>1</v>
      </c>
      <c r="B2" s="36">
        <v>46023</v>
      </c>
      <c r="C2" s="37" t="s">
        <v>118</v>
      </c>
      <c r="D2" s="37" t="s">
        <v>13</v>
      </c>
      <c r="E2" s="37" t="s">
        <v>14</v>
      </c>
      <c r="F2" s="37" t="s">
        <v>16</v>
      </c>
      <c r="G2" s="37">
        <v>55000</v>
      </c>
      <c r="H2" s="37">
        <v>1</v>
      </c>
      <c r="I2" s="37" t="s">
        <v>23</v>
      </c>
      <c r="J2" s="38" t="s">
        <v>371</v>
      </c>
    </row>
    <row r="3" spans="1:20" x14ac:dyDescent="0.3">
      <c r="A3" s="35">
        <v>2</v>
      </c>
      <c r="B3" s="36">
        <v>46024</v>
      </c>
      <c r="C3" s="37" t="s">
        <v>149</v>
      </c>
      <c r="D3" s="37" t="s">
        <v>20</v>
      </c>
      <c r="E3" s="37" t="s">
        <v>14</v>
      </c>
      <c r="F3" s="37" t="s">
        <v>28</v>
      </c>
      <c r="G3" s="37">
        <v>25000</v>
      </c>
      <c r="H3" s="37">
        <v>1</v>
      </c>
      <c r="I3" s="37" t="s">
        <v>17</v>
      </c>
      <c r="J3" s="38" t="s">
        <v>356</v>
      </c>
      <c r="L3" s="25"/>
      <c r="M3" s="23"/>
      <c r="N3" s="23"/>
      <c r="O3" s="23"/>
      <c r="P3" s="23"/>
      <c r="Q3" s="23"/>
      <c r="R3" s="23"/>
      <c r="S3" s="23"/>
      <c r="T3" s="23"/>
    </row>
    <row r="4" spans="1:20" x14ac:dyDescent="0.3">
      <c r="A4" s="35">
        <v>3</v>
      </c>
      <c r="B4" s="36">
        <v>46025</v>
      </c>
      <c r="C4" s="37" t="s">
        <v>458</v>
      </c>
      <c r="D4" s="37" t="s">
        <v>448</v>
      </c>
      <c r="E4" s="37" t="s">
        <v>446</v>
      </c>
      <c r="F4" s="37" t="s">
        <v>22</v>
      </c>
      <c r="G4" s="37">
        <v>4000</v>
      </c>
      <c r="H4" s="37">
        <v>2</v>
      </c>
      <c r="I4" s="37" t="s">
        <v>34</v>
      </c>
      <c r="J4" s="38" t="s">
        <v>353</v>
      </c>
      <c r="L4" s="24"/>
      <c r="M4" s="23"/>
      <c r="N4" s="23"/>
      <c r="O4" s="23"/>
      <c r="P4" s="23"/>
      <c r="Q4" s="23"/>
      <c r="R4" s="23"/>
      <c r="S4" s="23"/>
      <c r="T4" s="23"/>
    </row>
    <row r="5" spans="1:20" x14ac:dyDescent="0.3">
      <c r="A5" s="35">
        <v>4</v>
      </c>
      <c r="B5" s="36">
        <v>46026</v>
      </c>
      <c r="C5" s="37" t="s">
        <v>123</v>
      </c>
      <c r="D5" s="37" t="s">
        <v>73</v>
      </c>
      <c r="E5" s="37" t="s">
        <v>446</v>
      </c>
      <c r="F5" s="37" t="s">
        <v>33</v>
      </c>
      <c r="G5" s="37">
        <v>3000</v>
      </c>
      <c r="H5" s="37">
        <v>2</v>
      </c>
      <c r="I5" s="37" t="s">
        <v>17</v>
      </c>
      <c r="J5" s="38" t="s">
        <v>320</v>
      </c>
      <c r="L5" s="24"/>
      <c r="M5" s="23"/>
      <c r="N5" s="23"/>
      <c r="O5" s="23"/>
      <c r="P5" s="23"/>
      <c r="Q5" s="23"/>
      <c r="R5" s="23"/>
      <c r="S5" s="23"/>
      <c r="T5" s="23"/>
    </row>
    <row r="6" spans="1:20" x14ac:dyDescent="0.3">
      <c r="A6" s="35">
        <v>5</v>
      </c>
      <c r="B6" s="36">
        <v>46027</v>
      </c>
      <c r="C6" s="37" t="s">
        <v>457</v>
      </c>
      <c r="D6" s="37" t="s">
        <v>447</v>
      </c>
      <c r="E6" s="37" t="s">
        <v>446</v>
      </c>
      <c r="F6" s="37" t="s">
        <v>16</v>
      </c>
      <c r="G6" s="37">
        <v>2400</v>
      </c>
      <c r="H6" s="37">
        <v>3</v>
      </c>
      <c r="I6" s="37" t="s">
        <v>23</v>
      </c>
      <c r="J6" s="38" t="s">
        <v>315</v>
      </c>
      <c r="L6" s="24"/>
      <c r="M6" s="23"/>
      <c r="N6" s="23"/>
      <c r="O6" s="23"/>
      <c r="P6" s="23"/>
      <c r="Q6" s="23"/>
      <c r="R6" s="23"/>
      <c r="S6" s="23"/>
      <c r="T6" s="23"/>
    </row>
    <row r="7" spans="1:20" x14ac:dyDescent="0.3">
      <c r="A7" s="35">
        <v>6</v>
      </c>
      <c r="B7" s="36">
        <v>46028</v>
      </c>
      <c r="C7" s="37" t="s">
        <v>456</v>
      </c>
      <c r="D7" s="37" t="s">
        <v>63</v>
      </c>
      <c r="E7" s="37" t="s">
        <v>14</v>
      </c>
      <c r="F7" s="37" t="s">
        <v>28</v>
      </c>
      <c r="G7" s="37">
        <v>30000</v>
      </c>
      <c r="H7" s="37">
        <v>2</v>
      </c>
      <c r="I7" s="37" t="s">
        <v>44</v>
      </c>
      <c r="J7" s="38" t="s">
        <v>337</v>
      </c>
      <c r="L7" s="24"/>
      <c r="M7" s="23"/>
      <c r="N7" s="23"/>
      <c r="O7" s="23"/>
      <c r="P7" s="23"/>
      <c r="Q7" s="23"/>
      <c r="R7" s="23"/>
      <c r="S7" s="23"/>
      <c r="T7" s="23"/>
    </row>
    <row r="8" spans="1:20" x14ac:dyDescent="0.3">
      <c r="A8" s="35">
        <v>7</v>
      </c>
      <c r="B8" s="36">
        <v>46029</v>
      </c>
      <c r="C8" s="37" t="s">
        <v>455</v>
      </c>
      <c r="D8" s="37" t="s">
        <v>52</v>
      </c>
      <c r="E8" s="37" t="s">
        <v>14</v>
      </c>
      <c r="F8" s="37" t="s">
        <v>22</v>
      </c>
      <c r="G8" s="37">
        <v>9000</v>
      </c>
      <c r="H8" s="37">
        <v>1</v>
      </c>
      <c r="I8" s="37" t="s">
        <v>34</v>
      </c>
      <c r="J8" s="38" t="s">
        <v>340</v>
      </c>
      <c r="L8" s="24"/>
      <c r="M8" s="23"/>
      <c r="N8" s="23"/>
      <c r="O8" s="23"/>
      <c r="P8" s="23"/>
      <c r="Q8" s="23"/>
      <c r="R8" s="23"/>
      <c r="S8" s="23"/>
      <c r="T8" s="23"/>
    </row>
    <row r="9" spans="1:20" x14ac:dyDescent="0.3">
      <c r="A9" s="35">
        <v>8</v>
      </c>
      <c r="B9" s="36">
        <v>46030</v>
      </c>
      <c r="C9" s="37" t="s">
        <v>131</v>
      </c>
      <c r="D9" s="37" t="s">
        <v>445</v>
      </c>
      <c r="E9" s="37" t="s">
        <v>14</v>
      </c>
      <c r="F9" s="37" t="s">
        <v>33</v>
      </c>
      <c r="G9" s="37">
        <v>18000</v>
      </c>
      <c r="H9" s="37">
        <v>1</v>
      </c>
      <c r="I9" s="37" t="s">
        <v>17</v>
      </c>
      <c r="J9" s="38" t="s">
        <v>326</v>
      </c>
      <c r="L9" s="24"/>
      <c r="M9" s="23"/>
      <c r="N9" s="23"/>
      <c r="O9" s="23"/>
      <c r="P9" s="23"/>
      <c r="Q9" s="23"/>
      <c r="R9" s="23"/>
      <c r="S9" s="23"/>
      <c r="T9" s="23"/>
    </row>
    <row r="10" spans="1:20" x14ac:dyDescent="0.3">
      <c r="A10" s="35">
        <v>9</v>
      </c>
      <c r="B10" s="36">
        <v>46031</v>
      </c>
      <c r="C10" s="37" t="s">
        <v>141</v>
      </c>
      <c r="D10" s="37" t="s">
        <v>25</v>
      </c>
      <c r="E10" s="37" t="s">
        <v>26</v>
      </c>
      <c r="F10" s="37" t="s">
        <v>16</v>
      </c>
      <c r="G10" s="37">
        <v>7000</v>
      </c>
      <c r="H10" s="37">
        <v>1</v>
      </c>
      <c r="I10" s="37" t="s">
        <v>23</v>
      </c>
      <c r="J10" s="38" t="s">
        <v>371</v>
      </c>
      <c r="L10" s="24"/>
      <c r="M10" s="23"/>
      <c r="N10" s="23"/>
      <c r="O10" s="23"/>
      <c r="P10" s="23"/>
      <c r="Q10" s="23"/>
      <c r="R10" s="23"/>
      <c r="S10" s="23"/>
      <c r="T10" s="23"/>
    </row>
    <row r="11" spans="1:20" x14ac:dyDescent="0.3">
      <c r="A11" s="35">
        <v>10</v>
      </c>
      <c r="B11" s="36">
        <v>46032</v>
      </c>
      <c r="C11" s="37" t="s">
        <v>454</v>
      </c>
      <c r="D11" s="37" t="s">
        <v>444</v>
      </c>
      <c r="E11" s="37" t="s">
        <v>26</v>
      </c>
      <c r="F11" s="37" t="s">
        <v>28</v>
      </c>
      <c r="G11" s="37">
        <v>12000</v>
      </c>
      <c r="H11" s="37">
        <v>1</v>
      </c>
      <c r="I11" s="37" t="s">
        <v>44</v>
      </c>
      <c r="J11" s="38" t="s">
        <v>356</v>
      </c>
      <c r="L11" s="24"/>
      <c r="M11" s="23"/>
      <c r="N11" s="23"/>
      <c r="O11" s="23"/>
      <c r="P11" s="23"/>
      <c r="Q11" s="23"/>
      <c r="R11" s="23"/>
      <c r="S11" s="23"/>
      <c r="T11" s="23"/>
    </row>
    <row r="12" spans="1:20" x14ac:dyDescent="0.3">
      <c r="A12" s="35">
        <v>11</v>
      </c>
      <c r="B12" s="36">
        <v>46033</v>
      </c>
      <c r="C12" s="37" t="s">
        <v>158</v>
      </c>
      <c r="D12" s="37" t="s">
        <v>13</v>
      </c>
      <c r="E12" s="37" t="s">
        <v>14</v>
      </c>
      <c r="F12" s="37" t="s">
        <v>22</v>
      </c>
      <c r="G12" s="37">
        <v>55000</v>
      </c>
      <c r="H12" s="37">
        <v>1</v>
      </c>
      <c r="I12" s="37" t="s">
        <v>17</v>
      </c>
      <c r="J12" s="38" t="s">
        <v>353</v>
      </c>
      <c r="L12" s="24"/>
      <c r="M12" s="23"/>
      <c r="N12" s="23"/>
      <c r="O12" s="23"/>
      <c r="P12" s="23"/>
      <c r="Q12" s="23"/>
      <c r="R12" s="23"/>
      <c r="S12" s="23"/>
      <c r="T12" s="23"/>
    </row>
    <row r="13" spans="1:20" x14ac:dyDescent="0.3">
      <c r="A13" s="35">
        <v>12</v>
      </c>
      <c r="B13" s="36">
        <v>46034</v>
      </c>
      <c r="C13" s="37" t="s">
        <v>162</v>
      </c>
      <c r="D13" s="37" t="s">
        <v>20</v>
      </c>
      <c r="E13" s="37" t="s">
        <v>14</v>
      </c>
      <c r="F13" s="37" t="s">
        <v>33</v>
      </c>
      <c r="G13" s="37">
        <v>50000</v>
      </c>
      <c r="H13" s="37">
        <v>2</v>
      </c>
      <c r="I13" s="37" t="s">
        <v>23</v>
      </c>
      <c r="J13" s="38" t="s">
        <v>320</v>
      </c>
      <c r="L13" s="24"/>
      <c r="M13" s="23"/>
      <c r="N13" s="23"/>
      <c r="O13" s="23"/>
      <c r="P13" s="23"/>
      <c r="Q13" s="23"/>
      <c r="R13" s="23"/>
      <c r="S13" s="23"/>
      <c r="T13" s="23"/>
    </row>
    <row r="14" spans="1:20" x14ac:dyDescent="0.3">
      <c r="A14" s="35">
        <v>13</v>
      </c>
      <c r="B14" s="36">
        <v>46035</v>
      </c>
      <c r="C14" s="37" t="s">
        <v>160</v>
      </c>
      <c r="D14" s="37" t="s">
        <v>448</v>
      </c>
      <c r="E14" s="37" t="s">
        <v>446</v>
      </c>
      <c r="F14" s="37" t="s">
        <v>16</v>
      </c>
      <c r="G14" s="37">
        <v>6000</v>
      </c>
      <c r="H14" s="37">
        <v>3</v>
      </c>
      <c r="I14" s="37" t="s">
        <v>34</v>
      </c>
      <c r="J14" s="38" t="s">
        <v>315</v>
      </c>
      <c r="L14" s="24"/>
      <c r="M14" s="23"/>
      <c r="N14" s="23"/>
      <c r="O14" s="23"/>
      <c r="P14" s="23"/>
      <c r="Q14" s="23"/>
      <c r="R14" s="23"/>
      <c r="S14" s="23"/>
      <c r="T14" s="23"/>
    </row>
    <row r="15" spans="1:20" x14ac:dyDescent="0.3">
      <c r="A15" s="35">
        <v>14</v>
      </c>
      <c r="B15" s="36">
        <v>46036</v>
      </c>
      <c r="C15" s="37" t="s">
        <v>167</v>
      </c>
      <c r="D15" s="37" t="s">
        <v>73</v>
      </c>
      <c r="E15" s="37" t="s">
        <v>446</v>
      </c>
      <c r="F15" s="37" t="s">
        <v>28</v>
      </c>
      <c r="G15" s="37">
        <v>1500</v>
      </c>
      <c r="H15" s="37">
        <v>1</v>
      </c>
      <c r="I15" s="37" t="s">
        <v>17</v>
      </c>
      <c r="J15" s="38" t="s">
        <v>337</v>
      </c>
      <c r="L15" s="24"/>
      <c r="M15" s="23"/>
      <c r="N15" s="23"/>
      <c r="O15" s="23"/>
      <c r="P15" s="23"/>
      <c r="Q15" s="23"/>
      <c r="R15" s="23"/>
      <c r="S15" s="23"/>
      <c r="T15" s="23"/>
    </row>
    <row r="16" spans="1:20" x14ac:dyDescent="0.3">
      <c r="A16" s="35">
        <v>15</v>
      </c>
      <c r="B16" s="36">
        <v>46037</v>
      </c>
      <c r="C16" s="37" t="s">
        <v>165</v>
      </c>
      <c r="D16" s="37" t="s">
        <v>447</v>
      </c>
      <c r="E16" s="37" t="s">
        <v>446</v>
      </c>
      <c r="F16" s="37" t="s">
        <v>22</v>
      </c>
      <c r="G16" s="37">
        <v>3200</v>
      </c>
      <c r="H16" s="37">
        <v>4</v>
      </c>
      <c r="I16" s="37" t="s">
        <v>44</v>
      </c>
      <c r="J16" s="38" t="s">
        <v>340</v>
      </c>
      <c r="L16" s="24"/>
      <c r="M16" s="23"/>
      <c r="N16" s="23"/>
      <c r="O16" s="23"/>
      <c r="P16" s="23"/>
      <c r="Q16" s="23"/>
      <c r="R16" s="23"/>
      <c r="S16" s="23"/>
      <c r="T16" s="23"/>
    </row>
    <row r="17" spans="1:20" x14ac:dyDescent="0.3">
      <c r="A17" s="35">
        <v>16</v>
      </c>
      <c r="B17" s="36">
        <v>46038</v>
      </c>
      <c r="C17" s="37" t="s">
        <v>453</v>
      </c>
      <c r="D17" s="37" t="s">
        <v>63</v>
      </c>
      <c r="E17" s="37" t="s">
        <v>14</v>
      </c>
      <c r="F17" s="37" t="s">
        <v>33</v>
      </c>
      <c r="G17" s="37">
        <v>15000</v>
      </c>
      <c r="H17" s="37">
        <v>1</v>
      </c>
      <c r="I17" s="37" t="s">
        <v>23</v>
      </c>
      <c r="J17" s="38" t="s">
        <v>326</v>
      </c>
      <c r="L17" s="24"/>
      <c r="M17" s="23"/>
      <c r="N17" s="23"/>
      <c r="O17" s="23"/>
      <c r="P17" s="23"/>
      <c r="Q17" s="23"/>
      <c r="R17" s="23"/>
      <c r="S17" s="23"/>
      <c r="T17" s="23"/>
    </row>
    <row r="18" spans="1:20" x14ac:dyDescent="0.3">
      <c r="A18" s="35">
        <v>17</v>
      </c>
      <c r="B18" s="36">
        <v>46039</v>
      </c>
      <c r="C18" s="37" t="s">
        <v>452</v>
      </c>
      <c r="D18" s="37" t="s">
        <v>52</v>
      </c>
      <c r="E18" s="37" t="s">
        <v>14</v>
      </c>
      <c r="F18" s="37" t="s">
        <v>16</v>
      </c>
      <c r="G18" s="37">
        <v>18000</v>
      </c>
      <c r="H18" s="37">
        <v>2</v>
      </c>
      <c r="I18" s="37" t="s">
        <v>17</v>
      </c>
      <c r="J18" s="38" t="s">
        <v>371</v>
      </c>
      <c r="L18" s="24"/>
      <c r="M18" s="23"/>
      <c r="N18" s="23"/>
      <c r="O18" s="23"/>
      <c r="P18" s="23"/>
      <c r="Q18" s="23"/>
      <c r="R18" s="23"/>
      <c r="S18" s="23"/>
      <c r="T18" s="23"/>
    </row>
    <row r="19" spans="1:20" x14ac:dyDescent="0.3">
      <c r="A19" s="35">
        <v>18</v>
      </c>
      <c r="B19" s="36">
        <v>46040</v>
      </c>
      <c r="C19" s="37" t="s">
        <v>451</v>
      </c>
      <c r="D19" s="37" t="s">
        <v>445</v>
      </c>
      <c r="E19" s="37" t="s">
        <v>14</v>
      </c>
      <c r="F19" s="37" t="s">
        <v>28</v>
      </c>
      <c r="G19" s="37">
        <v>36000</v>
      </c>
      <c r="H19" s="37">
        <v>2</v>
      </c>
      <c r="I19" s="37" t="s">
        <v>44</v>
      </c>
      <c r="J19" s="38" t="s">
        <v>356</v>
      </c>
      <c r="L19" s="24"/>
      <c r="M19" s="23"/>
      <c r="N19" s="23"/>
      <c r="O19" s="23"/>
      <c r="P19" s="23"/>
      <c r="Q19" s="23"/>
      <c r="R19" s="23"/>
      <c r="S19" s="23"/>
      <c r="T19" s="23"/>
    </row>
    <row r="20" spans="1:20" x14ac:dyDescent="0.3">
      <c r="A20" s="35">
        <v>19</v>
      </c>
      <c r="B20" s="36">
        <v>46041</v>
      </c>
      <c r="C20" s="37" t="s">
        <v>450</v>
      </c>
      <c r="D20" s="37" t="s">
        <v>25</v>
      </c>
      <c r="E20" s="37" t="s">
        <v>26</v>
      </c>
      <c r="F20" s="37" t="s">
        <v>22</v>
      </c>
      <c r="G20" s="37">
        <v>14000</v>
      </c>
      <c r="H20" s="37">
        <v>2</v>
      </c>
      <c r="I20" s="37" t="s">
        <v>34</v>
      </c>
      <c r="J20" s="38" t="s">
        <v>353</v>
      </c>
      <c r="L20" s="24"/>
      <c r="M20" s="23"/>
      <c r="N20" s="23"/>
      <c r="O20" s="23"/>
      <c r="P20" s="23"/>
      <c r="Q20" s="23"/>
      <c r="R20" s="23"/>
      <c r="S20" s="23"/>
      <c r="T20" s="23"/>
    </row>
    <row r="21" spans="1:20" x14ac:dyDescent="0.3">
      <c r="A21" s="35">
        <v>20</v>
      </c>
      <c r="B21" s="36">
        <v>46042</v>
      </c>
      <c r="C21" s="37" t="s">
        <v>449</v>
      </c>
      <c r="D21" s="37" t="s">
        <v>444</v>
      </c>
      <c r="E21" s="37" t="s">
        <v>26</v>
      </c>
      <c r="F21" s="37" t="s">
        <v>33</v>
      </c>
      <c r="G21" s="37">
        <v>24000</v>
      </c>
      <c r="H21" s="37">
        <v>2</v>
      </c>
      <c r="I21" s="37" t="s">
        <v>23</v>
      </c>
      <c r="J21" s="38" t="s">
        <v>320</v>
      </c>
      <c r="L21" s="24"/>
      <c r="M21" s="23"/>
      <c r="N21" s="23"/>
      <c r="O21" s="23"/>
      <c r="P21" s="23"/>
      <c r="Q21" s="23"/>
      <c r="R21" s="23"/>
      <c r="S21" s="23"/>
      <c r="T21" s="23"/>
    </row>
    <row r="22" spans="1:20" x14ac:dyDescent="0.3">
      <c r="A22" s="35">
        <v>21</v>
      </c>
      <c r="B22" s="36">
        <v>46043</v>
      </c>
      <c r="C22" s="37" t="s">
        <v>183</v>
      </c>
      <c r="D22" s="37" t="s">
        <v>13</v>
      </c>
      <c r="E22" s="37" t="s">
        <v>14</v>
      </c>
      <c r="F22" s="37" t="s">
        <v>16</v>
      </c>
      <c r="G22" s="37">
        <v>55000</v>
      </c>
      <c r="H22" s="37">
        <v>1</v>
      </c>
      <c r="I22" s="37" t="s">
        <v>17</v>
      </c>
      <c r="J22" s="38" t="s">
        <v>315</v>
      </c>
      <c r="L22" s="24"/>
      <c r="M22" s="23"/>
      <c r="N22" s="23"/>
      <c r="O22" s="23"/>
      <c r="P22" s="23"/>
      <c r="Q22" s="23"/>
      <c r="R22" s="23"/>
      <c r="S22" s="23"/>
      <c r="T22" s="23"/>
    </row>
    <row r="23" spans="1:20" x14ac:dyDescent="0.3">
      <c r="A23" s="35">
        <v>22</v>
      </c>
      <c r="B23" s="36">
        <v>46044</v>
      </c>
      <c r="C23" s="37" t="s">
        <v>173</v>
      </c>
      <c r="D23" s="37" t="s">
        <v>20</v>
      </c>
      <c r="E23" s="37" t="s">
        <v>14</v>
      </c>
      <c r="F23" s="37" t="s">
        <v>28</v>
      </c>
      <c r="G23" s="37">
        <v>25000</v>
      </c>
      <c r="H23" s="37">
        <v>1</v>
      </c>
      <c r="I23" s="37" t="s">
        <v>34</v>
      </c>
      <c r="J23" s="38" t="s">
        <v>337</v>
      </c>
      <c r="L23" s="24"/>
      <c r="M23" s="23"/>
      <c r="N23" s="23"/>
      <c r="O23" s="23"/>
      <c r="P23" s="23"/>
      <c r="Q23" s="23"/>
      <c r="R23" s="23"/>
      <c r="S23" s="23"/>
      <c r="T23" s="23"/>
    </row>
    <row r="24" spans="1:20" x14ac:dyDescent="0.3">
      <c r="A24" s="35">
        <v>23</v>
      </c>
      <c r="B24" s="36">
        <v>46045</v>
      </c>
      <c r="C24" s="37" t="s">
        <v>169</v>
      </c>
      <c r="D24" s="37" t="s">
        <v>448</v>
      </c>
      <c r="E24" s="37" t="s">
        <v>446</v>
      </c>
      <c r="F24" s="37" t="s">
        <v>22</v>
      </c>
      <c r="G24" s="37">
        <v>2000</v>
      </c>
      <c r="H24" s="37">
        <v>1</v>
      </c>
      <c r="I24" s="37" t="s">
        <v>44</v>
      </c>
      <c r="J24" s="38" t="s">
        <v>340</v>
      </c>
      <c r="L24" s="25"/>
      <c r="M24" s="23"/>
      <c r="N24" s="23"/>
      <c r="O24" s="23"/>
      <c r="P24" s="23"/>
      <c r="Q24" s="23"/>
      <c r="R24" s="23"/>
      <c r="S24" s="23"/>
      <c r="T24" s="23"/>
    </row>
    <row r="25" spans="1:20" x14ac:dyDescent="0.3">
      <c r="A25" s="35">
        <v>24</v>
      </c>
      <c r="B25" s="36">
        <v>46046</v>
      </c>
      <c r="C25" s="37" t="s">
        <v>176</v>
      </c>
      <c r="D25" s="37" t="s">
        <v>73</v>
      </c>
      <c r="E25" s="37" t="s">
        <v>446</v>
      </c>
      <c r="F25" s="37" t="s">
        <v>33</v>
      </c>
      <c r="G25" s="37">
        <v>4500</v>
      </c>
      <c r="H25" s="37">
        <v>3</v>
      </c>
      <c r="I25" s="37" t="s">
        <v>23</v>
      </c>
      <c r="J25" s="38" t="s">
        <v>326</v>
      </c>
      <c r="L25" s="24"/>
      <c r="M25" s="23"/>
      <c r="N25" s="23"/>
      <c r="O25" s="23"/>
      <c r="P25" s="23"/>
      <c r="Q25" s="23"/>
      <c r="R25" s="23"/>
      <c r="S25" s="23"/>
      <c r="T25" s="23"/>
    </row>
    <row r="26" spans="1:20" x14ac:dyDescent="0.3">
      <c r="A26" s="35">
        <v>25</v>
      </c>
      <c r="B26" s="36">
        <v>46047</v>
      </c>
      <c r="C26" s="37" t="s">
        <v>271</v>
      </c>
      <c r="D26" s="37" t="s">
        <v>447</v>
      </c>
      <c r="E26" s="37" t="s">
        <v>446</v>
      </c>
      <c r="F26" s="37" t="s">
        <v>16</v>
      </c>
      <c r="G26" s="37">
        <v>1600</v>
      </c>
      <c r="H26" s="37">
        <v>2</v>
      </c>
      <c r="I26" s="37" t="s">
        <v>17</v>
      </c>
      <c r="J26" s="38" t="s">
        <v>371</v>
      </c>
      <c r="L26" s="24"/>
      <c r="M26" s="23"/>
      <c r="N26" s="23"/>
      <c r="O26" s="23"/>
      <c r="P26" s="23"/>
      <c r="Q26" s="23"/>
      <c r="R26" s="23"/>
      <c r="S26" s="23"/>
      <c r="T26" s="23"/>
    </row>
    <row r="27" spans="1:20" x14ac:dyDescent="0.3">
      <c r="A27" s="35">
        <v>26</v>
      </c>
      <c r="B27" s="36">
        <v>46048</v>
      </c>
      <c r="C27" s="37" t="s">
        <v>273</v>
      </c>
      <c r="D27" s="37" t="s">
        <v>63</v>
      </c>
      <c r="E27" s="37" t="s">
        <v>14</v>
      </c>
      <c r="F27" s="37" t="s">
        <v>28</v>
      </c>
      <c r="G27" s="37">
        <v>30000</v>
      </c>
      <c r="H27" s="37">
        <v>2</v>
      </c>
      <c r="I27" s="37" t="s">
        <v>44</v>
      </c>
      <c r="J27" s="38" t="s">
        <v>356</v>
      </c>
      <c r="L27" s="24"/>
      <c r="M27" s="23"/>
      <c r="N27" s="23"/>
      <c r="O27" s="23"/>
      <c r="P27" s="23"/>
      <c r="Q27" s="23"/>
      <c r="R27" s="23"/>
      <c r="S27" s="23"/>
      <c r="T27" s="23"/>
    </row>
    <row r="28" spans="1:20" x14ac:dyDescent="0.3">
      <c r="A28" s="35">
        <v>27</v>
      </c>
      <c r="B28" s="36">
        <v>46049</v>
      </c>
      <c r="C28" s="37" t="s">
        <v>178</v>
      </c>
      <c r="D28" s="37" t="s">
        <v>52</v>
      </c>
      <c r="E28" s="37" t="s">
        <v>14</v>
      </c>
      <c r="F28" s="37" t="s">
        <v>22</v>
      </c>
      <c r="G28" s="37">
        <v>9000</v>
      </c>
      <c r="H28" s="37">
        <v>1</v>
      </c>
      <c r="I28" s="37" t="s">
        <v>34</v>
      </c>
      <c r="J28" s="38" t="s">
        <v>353</v>
      </c>
      <c r="L28" s="24"/>
      <c r="M28" s="23"/>
      <c r="N28" s="23"/>
      <c r="O28" s="23"/>
      <c r="P28" s="23"/>
      <c r="Q28" s="23"/>
      <c r="R28" s="23"/>
      <c r="S28" s="23"/>
      <c r="T28" s="23"/>
    </row>
    <row r="29" spans="1:20" x14ac:dyDescent="0.3">
      <c r="A29" s="35">
        <v>28</v>
      </c>
      <c r="B29" s="36">
        <v>46050</v>
      </c>
      <c r="C29" s="37" t="s">
        <v>181</v>
      </c>
      <c r="D29" s="37" t="s">
        <v>445</v>
      </c>
      <c r="E29" s="37" t="s">
        <v>14</v>
      </c>
      <c r="F29" s="37" t="s">
        <v>33</v>
      </c>
      <c r="G29" s="37">
        <v>18000</v>
      </c>
      <c r="H29" s="37">
        <v>1</v>
      </c>
      <c r="I29" s="37" t="s">
        <v>23</v>
      </c>
      <c r="J29" s="38" t="s">
        <v>320</v>
      </c>
      <c r="L29" s="24"/>
      <c r="M29" s="23"/>
      <c r="N29" s="23"/>
      <c r="O29" s="23"/>
      <c r="P29" s="23"/>
      <c r="Q29" s="23"/>
      <c r="R29" s="23"/>
      <c r="S29" s="23"/>
      <c r="T29" s="23"/>
    </row>
    <row r="30" spans="1:20" x14ac:dyDescent="0.3">
      <c r="A30" s="35">
        <v>29</v>
      </c>
      <c r="B30" s="36">
        <v>46051</v>
      </c>
      <c r="C30" s="37" t="s">
        <v>268</v>
      </c>
      <c r="D30" s="37" t="s">
        <v>25</v>
      </c>
      <c r="E30" s="37" t="s">
        <v>26</v>
      </c>
      <c r="F30" s="37" t="s">
        <v>16</v>
      </c>
      <c r="G30" s="37">
        <v>7000</v>
      </c>
      <c r="H30" s="37">
        <v>1</v>
      </c>
      <c r="I30" s="37" t="s">
        <v>17</v>
      </c>
      <c r="J30" s="38" t="s">
        <v>315</v>
      </c>
      <c r="L30" s="24"/>
      <c r="M30" s="23"/>
      <c r="N30" s="23"/>
      <c r="O30" s="23"/>
      <c r="P30" s="23"/>
      <c r="Q30" s="23"/>
      <c r="R30" s="23"/>
      <c r="S30" s="23"/>
      <c r="T30" s="23"/>
    </row>
    <row r="31" spans="1:20" x14ac:dyDescent="0.3">
      <c r="A31" s="39">
        <v>30</v>
      </c>
      <c r="B31" s="40">
        <v>46052</v>
      </c>
      <c r="C31" s="41" t="s">
        <v>186</v>
      </c>
      <c r="D31" s="41" t="s">
        <v>444</v>
      </c>
      <c r="E31" s="41" t="s">
        <v>26</v>
      </c>
      <c r="F31" s="41" t="s">
        <v>28</v>
      </c>
      <c r="G31" s="41">
        <v>12000</v>
      </c>
      <c r="H31" s="41">
        <v>1</v>
      </c>
      <c r="I31" s="41" t="s">
        <v>44</v>
      </c>
      <c r="J31" s="42" t="s">
        <v>337</v>
      </c>
      <c r="L31" s="24"/>
      <c r="M31" s="23"/>
      <c r="N31" s="23"/>
      <c r="O31" s="23"/>
      <c r="P31" s="23"/>
      <c r="Q31" s="23"/>
      <c r="R31" s="23"/>
      <c r="S31" s="23"/>
      <c r="T31" s="23"/>
    </row>
    <row r="32" spans="1:20" x14ac:dyDescent="0.3">
      <c r="L32" s="24"/>
      <c r="M32" s="23"/>
      <c r="N32" s="23"/>
      <c r="O32" s="23"/>
      <c r="P32" s="23"/>
      <c r="Q32" s="23"/>
      <c r="R32" s="23"/>
      <c r="S32" s="23"/>
      <c r="T32" s="23"/>
    </row>
    <row r="33" spans="1:20" x14ac:dyDescent="0.3">
      <c r="L33" s="24"/>
      <c r="M33" s="23"/>
      <c r="N33" s="23"/>
      <c r="O33" s="23"/>
      <c r="P33" s="23"/>
      <c r="Q33" s="23"/>
      <c r="R33" s="23"/>
      <c r="S33" s="23"/>
      <c r="T33" s="23"/>
    </row>
    <row r="34" spans="1:20" ht="23.4" x14ac:dyDescent="0.3">
      <c r="A34" s="22" t="s">
        <v>443</v>
      </c>
      <c r="L34" s="24"/>
      <c r="M34" s="23"/>
      <c r="N34" s="23"/>
      <c r="O34" s="23"/>
      <c r="P34" s="23"/>
      <c r="Q34" s="23"/>
      <c r="R34" s="23"/>
      <c r="S34" s="23"/>
      <c r="T34" s="23"/>
    </row>
    <row r="35" spans="1:20" x14ac:dyDescent="0.3">
      <c r="A35" s="6"/>
    </row>
    <row r="36" spans="1:20" x14ac:dyDescent="0.3">
      <c r="A36" s="6" t="s">
        <v>442</v>
      </c>
    </row>
    <row r="37" spans="1:20" x14ac:dyDescent="0.3">
      <c r="A37" s="6"/>
    </row>
    <row r="38" spans="1:20" x14ac:dyDescent="0.3">
      <c r="A38" s="6" t="s">
        <v>441</v>
      </c>
    </row>
    <row r="39" spans="1:20" x14ac:dyDescent="0.3">
      <c r="A39" s="6"/>
    </row>
    <row r="40" spans="1:20" x14ac:dyDescent="0.3">
      <c r="A40" s="6" t="s">
        <v>440</v>
      </c>
    </row>
    <row r="41" spans="1:20" x14ac:dyDescent="0.3">
      <c r="A41" s="6"/>
    </row>
    <row r="42" spans="1:20" x14ac:dyDescent="0.3">
      <c r="A42" s="6" t="s">
        <v>439</v>
      </c>
    </row>
    <row r="43" spans="1:20" x14ac:dyDescent="0.3">
      <c r="A43" s="6"/>
    </row>
    <row r="44" spans="1:20" x14ac:dyDescent="0.3">
      <c r="A44" s="6" t="s">
        <v>438</v>
      </c>
    </row>
    <row r="45" spans="1:20" x14ac:dyDescent="0.3">
      <c r="A45" s="6"/>
    </row>
    <row r="46" spans="1:20" x14ac:dyDescent="0.3">
      <c r="A46" s="6" t="s">
        <v>437</v>
      </c>
    </row>
    <row r="47" spans="1:20" x14ac:dyDescent="0.3">
      <c r="A47" s="6"/>
    </row>
    <row r="48" spans="1:20" x14ac:dyDescent="0.3">
      <c r="A48" s="6" t="s">
        <v>436</v>
      </c>
    </row>
    <row r="49" spans="1:1" x14ac:dyDescent="0.3">
      <c r="A49" s="6"/>
    </row>
    <row r="50" spans="1:1" x14ac:dyDescent="0.3">
      <c r="A50" s="6" t="s">
        <v>435</v>
      </c>
    </row>
    <row r="51" spans="1:1" x14ac:dyDescent="0.3">
      <c r="A51" s="6"/>
    </row>
    <row r="52" spans="1:1" x14ac:dyDescent="0.3">
      <c r="A52" s="6" t="s">
        <v>434</v>
      </c>
    </row>
    <row r="53" spans="1:1" x14ac:dyDescent="0.3">
      <c r="A53" s="6"/>
    </row>
    <row r="54" spans="1:1" x14ac:dyDescent="0.3">
      <c r="A54" s="6" t="s">
        <v>433</v>
      </c>
    </row>
    <row r="55" spans="1:1" ht="23.4" x14ac:dyDescent="0.3">
      <c r="A55" s="22"/>
    </row>
    <row r="56" spans="1:1" x14ac:dyDescent="0.3">
      <c r="A56" s="6"/>
    </row>
    <row r="57" spans="1:1" x14ac:dyDescent="0.3">
      <c r="A57" s="6" t="s">
        <v>432</v>
      </c>
    </row>
    <row r="58" spans="1:1" x14ac:dyDescent="0.3">
      <c r="A58" s="6"/>
    </row>
    <row r="59" spans="1:1" x14ac:dyDescent="0.3">
      <c r="A59" s="6" t="s">
        <v>431</v>
      </c>
    </row>
    <row r="60" spans="1:1" x14ac:dyDescent="0.3">
      <c r="A60" s="6"/>
    </row>
    <row r="61" spans="1:1" x14ac:dyDescent="0.3">
      <c r="A61" s="6" t="s">
        <v>430</v>
      </c>
    </row>
    <row r="62" spans="1:1" x14ac:dyDescent="0.3">
      <c r="A62" s="6"/>
    </row>
    <row r="63" spans="1:1" x14ac:dyDescent="0.3">
      <c r="A63" s="6" t="s">
        <v>429</v>
      </c>
    </row>
    <row r="64" spans="1:1" x14ac:dyDescent="0.3">
      <c r="A64" s="6"/>
    </row>
    <row r="65" spans="1:1" x14ac:dyDescent="0.3">
      <c r="A65" s="6" t="s">
        <v>428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33F1-A2FA-419C-A93E-2CE121C4E7FF}">
  <dimension ref="A1:L47"/>
  <sheetViews>
    <sheetView tabSelected="1" topLeftCell="A46" zoomScale="75" zoomScaleNormal="175" workbookViewId="0">
      <selection activeCell="G66" sqref="G66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16.218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8.6640625" bestFit="1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</cols>
  <sheetData>
    <row r="1" spans="1:12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7" t="s">
        <v>6</v>
      </c>
      <c r="H1" s="26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x14ac:dyDescent="0.3">
      <c r="A2" s="28">
        <v>1</v>
      </c>
      <c r="B2" s="29">
        <v>45660</v>
      </c>
      <c r="C2" s="28" t="s">
        <v>12</v>
      </c>
      <c r="D2" s="28" t="s">
        <v>13</v>
      </c>
      <c r="E2" s="28" t="s">
        <v>14</v>
      </c>
      <c r="F2" s="30">
        <v>1</v>
      </c>
      <c r="G2" s="30">
        <v>55000</v>
      </c>
      <c r="H2" s="28">
        <v>55000</v>
      </c>
      <c r="I2" s="30" t="s">
        <v>15</v>
      </c>
      <c r="J2" s="30" t="s">
        <v>16</v>
      </c>
      <c r="K2" s="30" t="s">
        <v>17</v>
      </c>
      <c r="L2" s="30" t="s">
        <v>18</v>
      </c>
    </row>
    <row r="3" spans="1:12" x14ac:dyDescent="0.3">
      <c r="A3" s="28">
        <v>2</v>
      </c>
      <c r="B3" s="29">
        <v>45661</v>
      </c>
      <c r="C3" s="28" t="s">
        <v>19</v>
      </c>
      <c r="D3" s="28" t="s">
        <v>20</v>
      </c>
      <c r="E3" s="28" t="s">
        <v>14</v>
      </c>
      <c r="F3" s="30">
        <v>2</v>
      </c>
      <c r="G3" s="30">
        <v>18000</v>
      </c>
      <c r="H3" s="28">
        <v>36000</v>
      </c>
      <c r="I3" s="30" t="s">
        <v>21</v>
      </c>
      <c r="J3" s="30" t="s">
        <v>22</v>
      </c>
      <c r="K3" s="30" t="s">
        <v>23</v>
      </c>
      <c r="L3" s="30" t="s">
        <v>18</v>
      </c>
    </row>
    <row r="4" spans="1:12" x14ac:dyDescent="0.3">
      <c r="A4" s="28">
        <v>3</v>
      </c>
      <c r="B4" s="29">
        <v>45662</v>
      </c>
      <c r="C4" s="28" t="s">
        <v>24</v>
      </c>
      <c r="D4" s="28" t="s">
        <v>25</v>
      </c>
      <c r="E4" s="28" t="s">
        <v>26</v>
      </c>
      <c r="F4" s="30">
        <v>3</v>
      </c>
      <c r="G4" s="30">
        <v>4500</v>
      </c>
      <c r="H4" s="28">
        <v>13500</v>
      </c>
      <c r="I4" s="30" t="s">
        <v>27</v>
      </c>
      <c r="J4" s="30" t="s">
        <v>28</v>
      </c>
      <c r="K4" s="30" t="s">
        <v>17</v>
      </c>
      <c r="L4" s="30" t="s">
        <v>18</v>
      </c>
    </row>
    <row r="5" spans="1:12" x14ac:dyDescent="0.3">
      <c r="A5" s="28">
        <v>4</v>
      </c>
      <c r="B5" s="29">
        <v>45663</v>
      </c>
      <c r="C5" s="28" t="s">
        <v>29</v>
      </c>
      <c r="D5" s="28" t="s">
        <v>30</v>
      </c>
      <c r="E5" s="28" t="s">
        <v>31</v>
      </c>
      <c r="F5" s="30">
        <v>1</v>
      </c>
      <c r="G5" s="30">
        <v>7000</v>
      </c>
      <c r="H5" s="28">
        <v>7000</v>
      </c>
      <c r="I5" s="30" t="s">
        <v>32</v>
      </c>
      <c r="J5" s="30" t="s">
        <v>33</v>
      </c>
      <c r="K5" s="30" t="s">
        <v>34</v>
      </c>
      <c r="L5" s="30" t="s">
        <v>18</v>
      </c>
    </row>
    <row r="6" spans="1:12" x14ac:dyDescent="0.3">
      <c r="A6" s="28">
        <v>5</v>
      </c>
      <c r="B6" s="29">
        <v>45664</v>
      </c>
      <c r="C6" s="28" t="s">
        <v>35</v>
      </c>
      <c r="D6" s="28" t="s">
        <v>36</v>
      </c>
      <c r="E6" s="28" t="s">
        <v>31</v>
      </c>
      <c r="F6" s="30">
        <v>2</v>
      </c>
      <c r="G6" s="30">
        <v>2300</v>
      </c>
      <c r="H6" s="28">
        <v>4600</v>
      </c>
      <c r="I6" s="30" t="s">
        <v>37</v>
      </c>
      <c r="J6" s="30" t="s">
        <v>16</v>
      </c>
      <c r="K6" s="30" t="s">
        <v>17</v>
      </c>
      <c r="L6" s="30" t="s">
        <v>18</v>
      </c>
    </row>
    <row r="7" spans="1:12" x14ac:dyDescent="0.3">
      <c r="A7" s="28">
        <v>6</v>
      </c>
      <c r="B7" s="29">
        <v>45665</v>
      </c>
      <c r="C7" s="28" t="s">
        <v>38</v>
      </c>
      <c r="D7" s="28" t="s">
        <v>39</v>
      </c>
      <c r="E7" s="28" t="s">
        <v>14</v>
      </c>
      <c r="F7" s="30">
        <v>1</v>
      </c>
      <c r="G7" s="30">
        <v>32000</v>
      </c>
      <c r="H7" s="28">
        <v>32000</v>
      </c>
      <c r="I7" s="30" t="s">
        <v>15</v>
      </c>
      <c r="J7" s="30" t="s">
        <v>22</v>
      </c>
      <c r="K7" s="30" t="s">
        <v>23</v>
      </c>
      <c r="L7" s="30" t="s">
        <v>18</v>
      </c>
    </row>
    <row r="8" spans="1:12" x14ac:dyDescent="0.3">
      <c r="A8" s="28">
        <v>7</v>
      </c>
      <c r="B8" s="29">
        <v>45666</v>
      </c>
      <c r="C8" s="28" t="s">
        <v>40</v>
      </c>
      <c r="D8" s="28" t="s">
        <v>41</v>
      </c>
      <c r="E8" s="28" t="s">
        <v>14</v>
      </c>
      <c r="F8" s="30">
        <v>2</v>
      </c>
      <c r="G8" s="30">
        <v>1500</v>
      </c>
      <c r="H8" s="28">
        <v>3000</v>
      </c>
      <c r="I8" s="30" t="s">
        <v>21</v>
      </c>
      <c r="J8" s="30" t="s">
        <v>28</v>
      </c>
      <c r="K8" s="30" t="s">
        <v>17</v>
      </c>
      <c r="L8" s="30" t="s">
        <v>18</v>
      </c>
    </row>
    <row r="9" spans="1:12" x14ac:dyDescent="0.3">
      <c r="A9" s="28">
        <v>8</v>
      </c>
      <c r="B9" s="29">
        <v>45667</v>
      </c>
      <c r="C9" s="28" t="s">
        <v>42</v>
      </c>
      <c r="D9" s="28" t="s">
        <v>43</v>
      </c>
      <c r="E9" s="28" t="s">
        <v>26</v>
      </c>
      <c r="F9" s="30">
        <v>1</v>
      </c>
      <c r="G9" s="30">
        <v>6000</v>
      </c>
      <c r="H9" s="28">
        <v>6000</v>
      </c>
      <c r="I9" s="30" t="s">
        <v>27</v>
      </c>
      <c r="J9" s="30" t="s">
        <v>33</v>
      </c>
      <c r="K9" s="30" t="s">
        <v>44</v>
      </c>
      <c r="L9" s="30" t="s">
        <v>18</v>
      </c>
    </row>
    <row r="10" spans="1:12" x14ac:dyDescent="0.3">
      <c r="A10" s="28">
        <v>9</v>
      </c>
      <c r="B10" s="31">
        <v>45668</v>
      </c>
      <c r="C10" s="30" t="s">
        <v>45</v>
      </c>
      <c r="D10" s="30" t="s">
        <v>46</v>
      </c>
      <c r="E10" s="30" t="s">
        <v>31</v>
      </c>
      <c r="F10" s="30">
        <v>1</v>
      </c>
      <c r="G10" s="30">
        <v>28000</v>
      </c>
      <c r="H10" s="28">
        <v>28000</v>
      </c>
      <c r="I10" s="30" t="s">
        <v>32</v>
      </c>
      <c r="J10" s="30" t="s">
        <v>16</v>
      </c>
      <c r="K10" s="30" t="s">
        <v>17</v>
      </c>
      <c r="L10" s="30" t="s">
        <v>18</v>
      </c>
    </row>
    <row r="11" spans="1:12" x14ac:dyDescent="0.3">
      <c r="A11" s="28">
        <v>10</v>
      </c>
      <c r="B11" s="31">
        <v>45669</v>
      </c>
      <c r="C11" s="30" t="s">
        <v>47</v>
      </c>
      <c r="D11" s="30" t="s">
        <v>48</v>
      </c>
      <c r="E11" s="30" t="s">
        <v>26</v>
      </c>
      <c r="F11" s="30">
        <v>3</v>
      </c>
      <c r="G11" s="30">
        <v>900</v>
      </c>
      <c r="H11" s="28">
        <v>2700</v>
      </c>
      <c r="I11" s="30" t="s">
        <v>37</v>
      </c>
      <c r="J11" s="30" t="s">
        <v>22</v>
      </c>
      <c r="K11" s="30" t="s">
        <v>34</v>
      </c>
      <c r="L11" s="30" t="s">
        <v>18</v>
      </c>
    </row>
    <row r="12" spans="1:12" x14ac:dyDescent="0.3">
      <c r="A12" s="28">
        <v>11</v>
      </c>
      <c r="B12" s="31">
        <v>45670</v>
      </c>
      <c r="C12" s="28" t="s">
        <v>49</v>
      </c>
      <c r="D12" s="30" t="s">
        <v>50</v>
      </c>
      <c r="E12" s="30" t="s">
        <v>31</v>
      </c>
      <c r="F12" s="30">
        <v>1</v>
      </c>
      <c r="G12" s="30">
        <v>8500</v>
      </c>
      <c r="H12" s="28">
        <v>8500</v>
      </c>
      <c r="I12" s="30" t="s">
        <v>15</v>
      </c>
      <c r="J12" s="30" t="s">
        <v>28</v>
      </c>
      <c r="K12" s="30" t="s">
        <v>23</v>
      </c>
      <c r="L12" s="30" t="s">
        <v>18</v>
      </c>
    </row>
    <row r="13" spans="1:12" x14ac:dyDescent="0.3">
      <c r="A13" s="28">
        <v>12</v>
      </c>
      <c r="B13" s="31">
        <v>45671</v>
      </c>
      <c r="C13" s="30" t="s">
        <v>51</v>
      </c>
      <c r="D13" s="30" t="s">
        <v>52</v>
      </c>
      <c r="E13" s="30" t="s">
        <v>14</v>
      </c>
      <c r="F13" s="30">
        <v>1</v>
      </c>
      <c r="G13" s="30">
        <v>12000</v>
      </c>
      <c r="H13" s="28">
        <v>12000</v>
      </c>
      <c r="I13" s="30" t="s">
        <v>21</v>
      </c>
      <c r="J13" s="30" t="s">
        <v>33</v>
      </c>
      <c r="K13" s="30" t="s">
        <v>17</v>
      </c>
      <c r="L13" s="30" t="s">
        <v>18</v>
      </c>
    </row>
    <row r="14" spans="1:12" x14ac:dyDescent="0.3">
      <c r="A14" s="28">
        <v>13</v>
      </c>
      <c r="B14" s="31">
        <v>45672</v>
      </c>
      <c r="C14" s="30" t="s">
        <v>53</v>
      </c>
      <c r="D14" s="30" t="s">
        <v>54</v>
      </c>
      <c r="E14" s="30" t="s">
        <v>55</v>
      </c>
      <c r="F14" s="30">
        <v>2</v>
      </c>
      <c r="G14" s="30">
        <v>2000</v>
      </c>
      <c r="H14" s="28">
        <v>4000</v>
      </c>
      <c r="I14" s="30" t="s">
        <v>27</v>
      </c>
      <c r="J14" s="30" t="s">
        <v>16</v>
      </c>
      <c r="K14" s="30" t="s">
        <v>44</v>
      </c>
      <c r="L14" s="30" t="s">
        <v>18</v>
      </c>
    </row>
    <row r="15" spans="1:12" x14ac:dyDescent="0.3">
      <c r="A15" s="28">
        <v>14</v>
      </c>
      <c r="B15" s="31">
        <v>45673</v>
      </c>
      <c r="C15" s="30" t="s">
        <v>56</v>
      </c>
      <c r="D15" s="30" t="s">
        <v>57</v>
      </c>
      <c r="E15" s="30" t="s">
        <v>55</v>
      </c>
      <c r="F15" s="30">
        <v>4</v>
      </c>
      <c r="G15" s="30">
        <v>400</v>
      </c>
      <c r="H15" s="28">
        <v>1600</v>
      </c>
      <c r="I15" s="30" t="s">
        <v>32</v>
      </c>
      <c r="J15" s="30" t="s">
        <v>22</v>
      </c>
      <c r="K15" s="30" t="s">
        <v>17</v>
      </c>
      <c r="L15" s="30" t="s">
        <v>18</v>
      </c>
    </row>
    <row r="16" spans="1:12" x14ac:dyDescent="0.3">
      <c r="A16" s="28">
        <v>15</v>
      </c>
      <c r="B16" s="31">
        <v>45674</v>
      </c>
      <c r="C16" s="30" t="s">
        <v>58</v>
      </c>
      <c r="D16" s="30" t="s">
        <v>59</v>
      </c>
      <c r="E16" s="30" t="s">
        <v>55</v>
      </c>
      <c r="F16" s="30">
        <v>1</v>
      </c>
      <c r="G16" s="30">
        <v>1500</v>
      </c>
      <c r="H16" s="28">
        <v>1500</v>
      </c>
      <c r="I16" s="30" t="s">
        <v>37</v>
      </c>
      <c r="J16" s="30" t="s">
        <v>28</v>
      </c>
      <c r="K16" s="30" t="s">
        <v>34</v>
      </c>
      <c r="L16" s="30" t="s">
        <v>18</v>
      </c>
    </row>
    <row r="17" spans="1:12" x14ac:dyDescent="0.3">
      <c r="A17" s="28">
        <v>16</v>
      </c>
      <c r="B17" s="31">
        <v>45675</v>
      </c>
      <c r="C17" s="30" t="s">
        <v>60</v>
      </c>
      <c r="D17" s="30" t="s">
        <v>61</v>
      </c>
      <c r="E17" s="30" t="s">
        <v>31</v>
      </c>
      <c r="F17" s="30">
        <v>1</v>
      </c>
      <c r="G17" s="30">
        <v>24000</v>
      </c>
      <c r="H17" s="28">
        <v>24000</v>
      </c>
      <c r="I17" s="30" t="s">
        <v>15</v>
      </c>
      <c r="J17" s="30" t="s">
        <v>33</v>
      </c>
      <c r="K17" s="30" t="s">
        <v>23</v>
      </c>
      <c r="L17" s="30" t="s">
        <v>18</v>
      </c>
    </row>
    <row r="18" spans="1:12" x14ac:dyDescent="0.3">
      <c r="A18" s="28">
        <v>17</v>
      </c>
      <c r="B18" s="31">
        <v>45676</v>
      </c>
      <c r="C18" s="30" t="s">
        <v>62</v>
      </c>
      <c r="D18" s="30" t="s">
        <v>63</v>
      </c>
      <c r="E18" s="30" t="s">
        <v>14</v>
      </c>
      <c r="F18" s="30">
        <v>1</v>
      </c>
      <c r="G18" s="30">
        <v>9500</v>
      </c>
      <c r="H18" s="28">
        <v>9500</v>
      </c>
      <c r="I18" s="30" t="s">
        <v>21</v>
      </c>
      <c r="J18" s="30" t="s">
        <v>16</v>
      </c>
      <c r="K18" s="30" t="s">
        <v>17</v>
      </c>
      <c r="L18" s="30" t="s">
        <v>18</v>
      </c>
    </row>
    <row r="19" spans="1:12" x14ac:dyDescent="0.3">
      <c r="A19" s="28">
        <v>18</v>
      </c>
      <c r="B19" s="31">
        <v>45677</v>
      </c>
      <c r="C19" s="30" t="s">
        <v>64</v>
      </c>
      <c r="D19" s="30" t="s">
        <v>65</v>
      </c>
      <c r="E19" s="30" t="s">
        <v>31</v>
      </c>
      <c r="F19" s="30">
        <v>2</v>
      </c>
      <c r="G19" s="30">
        <v>2700</v>
      </c>
      <c r="H19" s="28">
        <v>5400</v>
      </c>
      <c r="I19" s="30" t="s">
        <v>27</v>
      </c>
      <c r="J19" s="30" t="s">
        <v>22</v>
      </c>
      <c r="K19" s="30" t="s">
        <v>34</v>
      </c>
      <c r="L19" s="30" t="s">
        <v>18</v>
      </c>
    </row>
    <row r="20" spans="1:12" x14ac:dyDescent="0.3">
      <c r="A20" s="28">
        <v>19</v>
      </c>
      <c r="B20" s="31">
        <v>45678</v>
      </c>
      <c r="C20" s="30" t="s">
        <v>66</v>
      </c>
      <c r="D20" s="30" t="s">
        <v>67</v>
      </c>
      <c r="E20" s="30" t="s">
        <v>31</v>
      </c>
      <c r="F20" s="30">
        <v>1</v>
      </c>
      <c r="G20" s="30">
        <v>15000</v>
      </c>
      <c r="H20" s="28">
        <v>15000</v>
      </c>
      <c r="I20" s="30" t="s">
        <v>32</v>
      </c>
      <c r="J20" s="30" t="s">
        <v>28</v>
      </c>
      <c r="K20" s="30" t="s">
        <v>17</v>
      </c>
      <c r="L20" s="30" t="s">
        <v>18</v>
      </c>
    </row>
    <row r="21" spans="1:12" x14ac:dyDescent="0.3">
      <c r="A21" s="28">
        <v>20</v>
      </c>
      <c r="B21" s="31">
        <v>45679</v>
      </c>
      <c r="C21" s="30" t="s">
        <v>68</v>
      </c>
      <c r="D21" s="30" t="s">
        <v>69</v>
      </c>
      <c r="E21" s="30" t="s">
        <v>26</v>
      </c>
      <c r="F21" s="30">
        <v>1</v>
      </c>
      <c r="G21" s="30">
        <v>18000</v>
      </c>
      <c r="H21" s="28">
        <v>18000</v>
      </c>
      <c r="I21" s="30" t="s">
        <v>37</v>
      </c>
      <c r="J21" s="30" t="s">
        <v>33</v>
      </c>
      <c r="K21" s="30" t="s">
        <v>23</v>
      </c>
      <c r="L21" s="30" t="s">
        <v>18</v>
      </c>
    </row>
    <row r="22" spans="1:12" x14ac:dyDescent="0.3">
      <c r="A22" s="28">
        <v>21</v>
      </c>
      <c r="B22" s="31">
        <v>45680</v>
      </c>
      <c r="C22" s="30" t="s">
        <v>70</v>
      </c>
      <c r="D22" s="30" t="s">
        <v>71</v>
      </c>
      <c r="E22" s="30" t="s">
        <v>31</v>
      </c>
      <c r="F22" s="30">
        <v>1</v>
      </c>
      <c r="G22" s="30">
        <v>2500</v>
      </c>
      <c r="H22" s="28">
        <v>2500</v>
      </c>
      <c r="I22" s="30" t="s">
        <v>15</v>
      </c>
      <c r="J22" s="30" t="s">
        <v>16</v>
      </c>
      <c r="K22" s="30" t="s">
        <v>17</v>
      </c>
      <c r="L22" s="30" t="s">
        <v>18</v>
      </c>
    </row>
    <row r="23" spans="1:12" x14ac:dyDescent="0.3">
      <c r="A23" s="28">
        <v>22</v>
      </c>
      <c r="B23" s="31">
        <v>45681</v>
      </c>
      <c r="C23" s="30" t="s">
        <v>72</v>
      </c>
      <c r="D23" s="30" t="s">
        <v>73</v>
      </c>
      <c r="E23" s="30" t="s">
        <v>14</v>
      </c>
      <c r="F23" s="30">
        <v>2</v>
      </c>
      <c r="G23" s="30">
        <v>1200</v>
      </c>
      <c r="H23" s="28">
        <v>2400</v>
      </c>
      <c r="I23" s="30" t="s">
        <v>21</v>
      </c>
      <c r="J23" s="30" t="s">
        <v>22</v>
      </c>
      <c r="K23" s="30" t="s">
        <v>44</v>
      </c>
      <c r="L23" s="30" t="s">
        <v>18</v>
      </c>
    </row>
    <row r="24" spans="1:12" x14ac:dyDescent="0.3">
      <c r="A24" s="28">
        <v>23</v>
      </c>
      <c r="B24" s="31">
        <v>45682</v>
      </c>
      <c r="C24" s="30" t="s">
        <v>74</v>
      </c>
      <c r="D24" s="30" t="s">
        <v>75</v>
      </c>
      <c r="E24" s="30" t="s">
        <v>55</v>
      </c>
      <c r="F24" s="30">
        <v>2</v>
      </c>
      <c r="G24" s="30">
        <v>1100</v>
      </c>
      <c r="H24" s="28">
        <v>2200</v>
      </c>
      <c r="I24" s="30" t="s">
        <v>27</v>
      </c>
      <c r="J24" s="30" t="s">
        <v>28</v>
      </c>
      <c r="K24" s="30" t="s">
        <v>34</v>
      </c>
      <c r="L24" s="30" t="s">
        <v>18</v>
      </c>
    </row>
    <row r="25" spans="1:12" x14ac:dyDescent="0.3">
      <c r="A25" s="28">
        <v>24</v>
      </c>
      <c r="B25" s="31">
        <v>45683</v>
      </c>
      <c r="C25" s="30" t="s">
        <v>76</v>
      </c>
      <c r="D25" s="30" t="s">
        <v>77</v>
      </c>
      <c r="E25" s="30" t="s">
        <v>26</v>
      </c>
      <c r="F25" s="30">
        <v>1</v>
      </c>
      <c r="G25" s="30">
        <v>14000</v>
      </c>
      <c r="H25" s="28">
        <v>14000</v>
      </c>
      <c r="I25" s="30" t="s">
        <v>32</v>
      </c>
      <c r="J25" s="30" t="s">
        <v>33</v>
      </c>
      <c r="K25" s="30" t="s">
        <v>17</v>
      </c>
      <c r="L25" s="30" t="s">
        <v>18</v>
      </c>
    </row>
    <row r="26" spans="1:12" x14ac:dyDescent="0.3">
      <c r="A26" s="28">
        <v>25</v>
      </c>
      <c r="B26" s="31">
        <v>45684</v>
      </c>
      <c r="C26" s="30" t="s">
        <v>78</v>
      </c>
      <c r="D26" s="30" t="s">
        <v>79</v>
      </c>
      <c r="E26" s="30" t="s">
        <v>55</v>
      </c>
      <c r="F26" s="30">
        <v>1</v>
      </c>
      <c r="G26" s="30">
        <v>1900</v>
      </c>
      <c r="H26" s="28">
        <v>1900</v>
      </c>
      <c r="I26" s="30" t="s">
        <v>37</v>
      </c>
      <c r="J26" s="30" t="s">
        <v>16</v>
      </c>
      <c r="K26" s="30" t="s">
        <v>34</v>
      </c>
      <c r="L26" s="30" t="s">
        <v>18</v>
      </c>
    </row>
    <row r="27" spans="1:12" x14ac:dyDescent="0.3">
      <c r="A27" s="28">
        <v>26</v>
      </c>
      <c r="B27" s="31">
        <v>45685</v>
      </c>
      <c r="C27" s="30" t="s">
        <v>80</v>
      </c>
      <c r="D27" s="30" t="s">
        <v>81</v>
      </c>
      <c r="E27" s="30" t="s">
        <v>14</v>
      </c>
      <c r="F27" s="30">
        <v>1</v>
      </c>
      <c r="G27" s="30">
        <v>4500</v>
      </c>
      <c r="H27" s="28">
        <v>4500</v>
      </c>
      <c r="I27" s="30" t="s">
        <v>15</v>
      </c>
      <c r="J27" s="30" t="s">
        <v>22</v>
      </c>
      <c r="K27" s="30" t="s">
        <v>17</v>
      </c>
      <c r="L27" s="30" t="s">
        <v>18</v>
      </c>
    </row>
    <row r="28" spans="1:12" x14ac:dyDescent="0.3">
      <c r="A28" s="28">
        <v>27</v>
      </c>
      <c r="B28" s="31">
        <v>45686</v>
      </c>
      <c r="C28" s="30" t="s">
        <v>82</v>
      </c>
      <c r="D28" s="30" t="s">
        <v>83</v>
      </c>
      <c r="E28" s="30" t="s">
        <v>55</v>
      </c>
      <c r="F28" s="30">
        <v>1</v>
      </c>
      <c r="G28" s="30">
        <v>2200</v>
      </c>
      <c r="H28" s="28">
        <v>2200</v>
      </c>
      <c r="I28" s="30" t="s">
        <v>21</v>
      </c>
      <c r="J28" s="30" t="s">
        <v>28</v>
      </c>
      <c r="K28" s="30" t="s">
        <v>23</v>
      </c>
      <c r="L28" s="30" t="s">
        <v>18</v>
      </c>
    </row>
    <row r="29" spans="1:12" x14ac:dyDescent="0.3">
      <c r="A29" s="28">
        <v>28</v>
      </c>
      <c r="B29" s="31">
        <v>45687</v>
      </c>
      <c r="C29" s="30" t="s">
        <v>84</v>
      </c>
      <c r="D29" s="30" t="s">
        <v>85</v>
      </c>
      <c r="E29" s="30" t="s">
        <v>86</v>
      </c>
      <c r="F29" s="30">
        <v>5</v>
      </c>
      <c r="G29" s="30">
        <v>300</v>
      </c>
      <c r="H29" s="28">
        <v>1500</v>
      </c>
      <c r="I29" s="30" t="s">
        <v>27</v>
      </c>
      <c r="J29" s="30" t="s">
        <v>33</v>
      </c>
      <c r="K29" s="30" t="s">
        <v>17</v>
      </c>
      <c r="L29" s="30" t="s">
        <v>18</v>
      </c>
    </row>
    <row r="30" spans="1:12" x14ac:dyDescent="0.3">
      <c r="A30" s="28">
        <v>29</v>
      </c>
      <c r="B30" s="31">
        <v>45688</v>
      </c>
      <c r="C30" s="30" t="s">
        <v>87</v>
      </c>
      <c r="D30" s="30" t="s">
        <v>88</v>
      </c>
      <c r="E30" s="30" t="s">
        <v>86</v>
      </c>
      <c r="F30" s="30">
        <v>10</v>
      </c>
      <c r="G30" s="30">
        <v>50</v>
      </c>
      <c r="H30" s="28">
        <v>500</v>
      </c>
      <c r="I30" s="30" t="s">
        <v>32</v>
      </c>
      <c r="J30" s="30" t="s">
        <v>16</v>
      </c>
      <c r="K30" s="30" t="s">
        <v>34</v>
      </c>
      <c r="L30" s="30" t="s">
        <v>18</v>
      </c>
    </row>
    <row r="31" spans="1:12" x14ac:dyDescent="0.3">
      <c r="A31" s="28">
        <v>30</v>
      </c>
      <c r="B31" s="31">
        <v>45689</v>
      </c>
      <c r="C31" s="30" t="s">
        <v>89</v>
      </c>
      <c r="D31" s="30" t="s">
        <v>90</v>
      </c>
      <c r="E31" s="30" t="s">
        <v>86</v>
      </c>
      <c r="F31" s="30">
        <v>3</v>
      </c>
      <c r="G31" s="30">
        <v>150</v>
      </c>
      <c r="H31" s="28">
        <v>450</v>
      </c>
      <c r="I31" s="30" t="s">
        <v>37</v>
      </c>
      <c r="J31" s="30" t="s">
        <v>22</v>
      </c>
      <c r="K31" s="30" t="s">
        <v>17</v>
      </c>
      <c r="L31" s="30" t="s">
        <v>18</v>
      </c>
    </row>
    <row r="35" spans="1:4" x14ac:dyDescent="0.3">
      <c r="A35">
        <v>1</v>
      </c>
      <c r="B35" t="s">
        <v>91</v>
      </c>
    </row>
    <row r="37" spans="1:4" x14ac:dyDescent="0.3">
      <c r="B37">
        <v>12</v>
      </c>
      <c r="D37" t="str">
        <f>VLOOKUP(B37,A1:L31,4,0)</f>
        <v>Printer</v>
      </c>
    </row>
    <row r="40" spans="1:4" x14ac:dyDescent="0.3">
      <c r="A40">
        <v>2</v>
      </c>
      <c r="B40" t="s">
        <v>92</v>
      </c>
    </row>
    <row r="42" spans="1:4" x14ac:dyDescent="0.3">
      <c r="B42" t="s">
        <v>45</v>
      </c>
      <c r="D42">
        <f>VLOOKUP(B42,C1:L31,5,0)</f>
        <v>28000</v>
      </c>
    </row>
    <row r="45" spans="1:4" x14ac:dyDescent="0.3">
      <c r="A45">
        <v>3</v>
      </c>
      <c r="B45" t="s">
        <v>93</v>
      </c>
    </row>
    <row r="47" spans="1:4" x14ac:dyDescent="0.3">
      <c r="B47">
        <v>25</v>
      </c>
      <c r="D47">
        <f>VLOOKUP(B47,A1:L31,6,0)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Vishal Jadhav</cp:lastModifiedBy>
  <dcterms:created xsi:type="dcterms:W3CDTF">2025-12-08T13:14:19Z</dcterms:created>
  <dcterms:modified xsi:type="dcterms:W3CDTF">2026-03-09T11:05:35Z</dcterms:modified>
</cp:coreProperties>
</file>